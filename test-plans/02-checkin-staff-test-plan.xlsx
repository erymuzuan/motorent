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4b77cb4a0d4d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1d5dab2ccc486e901b3177d53132a3.psmdcp" Id="R722b93d6735545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Test Cases" sheetId="2" r:id="rId3"/>
  </x:sheets>
  <x:definedNames>
    <x:definedName name="_xlnm._FilterDatabase" localSheetId="1" hidden="1">'Test Cases'!$A$1:$K$63</x:definedName>
  </x:definedNames>
  <x:calcPr calcId="125725"/>
</x:workbook>
</file>

<file path=xl/calcChain.xml><?xml version="1.0" encoding="utf-8"?>
<x:calcChain xmlns:x="http://schemas.openxmlformats.org/spreadsheetml/2006/main">
  <x:c r="C20" i="1"/>
  <x:c r="D20" i="1"/>
  <x:c r="E20" i="1"/>
  <x:c r="F20" i="1"/>
  <x:c r="G20" i="1"/>
  <x:c r="C21" i="1"/>
  <x:c r="D21" i="1"/>
  <x:c r="E21" i="1"/>
  <x:c r="F21" i="1"/>
  <x:c r="G21" i="1"/>
  <x:c r="C22" i="1"/>
  <x:c r="D22" i="1"/>
  <x:c r="E22" i="1"/>
  <x:c r="F22" i="1"/>
  <x:c r="G22" i="1"/>
  <x:c r="C23" i="1"/>
  <x:c r="D23" i="1"/>
  <x:c r="E23" i="1"/>
  <x:c r="F23" i="1"/>
  <x:c r="G23" i="1"/>
  <x:c r="C24" i="1"/>
  <x:c r="D24" i="1"/>
  <x:c r="E24" i="1"/>
  <x:c r="F24" i="1"/>
  <x:c r="G24" i="1"/>
  <x:c r="C25" i="1"/>
  <x:c r="D25" i="1"/>
  <x:c r="E25" i="1"/>
  <x:c r="F25" i="1"/>
  <x:c r="G25" i="1"/>
  <x:c r="C26" i="1"/>
  <x:c r="D26" i="1"/>
  <x:c r="E26" i="1"/>
  <x:c r="F26" i="1"/>
  <x:c r="G26" i="1"/>
  <x:c r="C27" i="1"/>
  <x:c r="D27" i="1"/>
  <x:c r="E27" i="1"/>
  <x:c r="F27" i="1"/>
  <x:c r="G27" i="1"/>
  <x:c r="C28" i="1"/>
  <x:c r="D28" i="1"/>
  <x:c r="E28" i="1"/>
  <x:c r="F28" i="1"/>
  <x:c r="G28" i="1"/>
  <x:c r="C29" i="1"/>
  <x:c r="D29" i="1"/>
  <x:c r="E29" i="1"/>
  <x:c r="F29" i="1"/>
  <x:c r="G29" i="1"/>
  <x:c r="C30" i="1"/>
  <x:c r="D30" i="1"/>
  <x:c r="E30" i="1"/>
  <x:c r="F30" i="1"/>
  <x:c r="G30" i="1"/>
  <x:c r="C31" i="1"/>
  <x:c r="D31" i="1"/>
  <x:c r="E31" i="1"/>
  <x:c r="F31" i="1"/>
  <x:c r="G31" i="1"/>
  <x:c r="B32" i="1"/>
  <x:c r="C32" i="1"/>
  <x:c r="D32" i="1"/>
  <x:c r="E32" i="1"/>
  <x:c r="F32" i="1"/>
  <x:c r="G32" i="1"/>
</x:calcChain>
</file>

<file path=xl/sharedStrings.xml><?xml version="1.0" encoding="utf-8"?>
<x:sst xmlns:x="http://schemas.openxmlformats.org/spreadsheetml/2006/main">
  <x:si>
    <x:t>Test Plan 02: Check-In Staff - Rental Check-In Workflow</x:t>
  </x:si>
  <x:si>
    <x:t>Role:</x:t>
  </x:si>
  <x:si>
    <x:t>Staff handling vehicle check-in</x:t>
  </x:si>
  <x:si>
    <x:t>Access Policy:</x:t>
  </x:si>
  <x:si>
    <x:t>RequireTenantStaff</x:t>
  </x:si>
  <x:si>
    <x:t>Primary Pages:</x:t>
  </x:si>
  <x:si>
    <x:t>`/rentals/checkin`, `/rentals/checkin/{BookingRef}`, `/rentals`</x:t>
  </x:si>
  <x:si>
    <x:t>Prerequisites</x:t>
  </x:si>
  <x:si>
    <x:t>☐</x:t>
  </x:si>
  <x:si>
    <x:t>Logged in as a user with Staff, ShopManager, or OrgAdmin role</x:t>
  </x:si>
  <x:si>
    <x:t>Active till session open (required for check-in)</x:t>
  </x:si>
  <x:si>
    <x:t>At least 3 available vehicles in the shop (different types: motorbike, jet ski if possible)</x:t>
  </x:si>
  <x:si>
    <x:t>At least 1 existing renter record in the system</x:t>
  </x:si>
  <x:si>
    <x:t>Insurance packages configured for fleet models</x:t>
  </x:si>
  <x:si>
    <x:t>Accessories configured for fleet models</x:t>
  </x:si>
  <x:si>
    <x:t>At least 1 service location configured (for pickup/dropoff tests)</x:t>
  </x:si>
  <x:si>
    <x:t>At least 1 approved rental agreement template (DocumentType.RentalAgreement)</x:t>
  </x:si>
  <x:si>
    <x:t>At least 1 confirmed booking (for check-in from booking tests)</x:t>
  </x:si>
  <x:si>
    <x:t>Section Progress</x:t>
  </x:si>
  <x:si>
    <x:t>Section</x:t>
  </x:si>
  <x:si>
    <x:t>Total</x:t>
  </x:si>
  <x:si>
    <x:t>Passed</x:t>
  </x:si>
  <x:si>
    <x:t>Failed</x:t>
  </x:si>
  <x:si>
    <x:t>Blocked</x:t>
  </x:si>
  <x:si>
    <x:t>Not Tested</x:t>
  </x:si>
  <x:si>
    <x:t>% Complete</x:t>
  </x:si>
  <x:si>
    <x:t>Renter Selection - Step 0</x:t>
  </x:si>
  <x:si>
    <x:t>Vehicle Selection - Step 1</x:t>
  </x:si>
  <x:si>
    <x:t>Configure Daily Rental - Step 2</x:t>
  </x:si>
  <x:si>
    <x:t>Configure Hourly Rental - Step 2</x:t>
  </x:si>
  <x:si>
    <x:t>Configure Interval Rental - Step 2</x:t>
  </x:si>
  <x:si>
    <x:t>Collect Deposit - Step 3</x:t>
  </x:si>
  <x:si>
    <x:t>Pre-Rental Inspection - Step 4</x:t>
  </x:si>
  <x:si>
    <x:t>Agreement &amp; Signature - Step 5</x:t>
  </x:si>
  <x:si>
    <x:t>Check-In from Booking</x:t>
  </x:si>
  <x:si>
    <x:t>Active Rentals</x:t>
  </x:si>
  <x:si>
    <x:t>Duration Type Auto-Selection</x:t>
  </x:si>
  <x:si>
    <x:t>Edge Cases &amp; Error Scenarios</x:t>
  </x:si>
  <x:si>
    <x:t>TOTAL</x:t>
  </x:si>
  <x:si>
    <x:t>TC ID</x:t>
  </x:si>
  <x:si>
    <x:t>Test Case</x:t>
  </x:si>
  <x:si>
    <x:t>Precondition</x:t>
  </x:si>
  <x:si>
    <x:t>Steps</x:t>
  </x:si>
  <x:si>
    <x:t>Expected Result</x:t>
  </x:si>
  <x:si>
    <x:t>Status</x:t>
  </x:si>
  <x:si>
    <x:t>Tester</x:t>
  </x:si>
  <x:si>
    <x:t>Test Date</x:t>
  </x:si>
  <x:si>
    <x:t>Notes</x:t>
  </x:si>
  <x:si>
    <x:t>Priority</x:t>
  </x:si>
  <x:si>
    <x:t>TC-1.1</x:t>
  </x:si>
  <x:si>
    <x:t>Search Existing Renter</x:t>
  </x:si>
  <x:si>
    <x:t/>
  </x:si>
  <x:si>
    <x:t>1. Navigate to `/rentals/checkin`
2. In the Renter step, type an existing renter's name in the search field
3. Wait for results (300ms debounce)</x:t>
  </x:si>
  <x:si>
    <x:t>Search results appear (max 10)
Results show renter name, phone, nationality
Recent renters section shows up to 5 recent entries</x:t>
  </x:si>
  <x:si>
    <x:t>Core</x:t>
  </x:si>
  <x:si>
    <x:t>TC-1.2</x:t>
  </x:si>
  <x:si>
    <x:t>Select Existing Renter</x:t>
  </x:si>
  <x:si>
    <x:t>1. Search for a renter by phone number
2. Click on the renter from search results
3. Expand the selected renter's detail panel</x:t>
  </x:si>
  <x:si>
    <x:t>Selected renter highlighted
Collapsible detail panel shows: Nationality, Passport/ID, Email, Hotel, Driving License
Next button enabled</x:t>
  </x:si>
  <x:si>
    <x:t>TC-1.3</x:t>
  </x:si>
  <x:si>
    <x:t>Create New Renter - Manual Entry</x:t>
  </x:si>
  <x:si>
    <x:t>1. Click "Create New Renter" button
2. In RenterDialog, switch to "Manual Entry" tab
3. Fill in:
- Full Name: "Maria Garcia" (required)
- Nationality: "Spain"
- Passport Number: "ESP12345678"
- Driving License Number: "DL-987654"
- License Country: "Spain"
- License Expiry: 1 year from now
- Phone: "+66898765432" (required)
- Email: "maria@example.com"
- Hotel Name: "Krabi Resort"
- Emergency Contact: "+34612345678"
4. Click Save</x:t>
  </x:si>
  <x:si>
    <x:t>Renter created successfully
Dialog closes
New renter auto-selected in the step
All fields saved correctly</x:t>
  </x:si>
  <x:si>
    <x:t>TC-1.4</x:t>
  </x:si>
  <x:si>
    <x:t>Create New Renter - Thai National</x:t>
  </x:si>
  <x:si>
    <x:t>1. Click "Create New Renter"
2. In Manual Entry tab:
- Full Name: "Somchai Jaidee"
- Nationality: "Thailand"
- Enter National ID Number (shown for Thai nationals instead of Passport)
- Phone: "+66812345678"
3. Save</x:t>
  </x:si>
  <x:si>
    <x:t>For Thai nationals, National ID field shown instead of Passport
Renter created successfully</x:t>
  </x:si>
  <x:si>
    <x:t>TC-1.5</x:t>
  </x:si>
  <x:si>
    <x:t>Create New Renter - OCR Document Scan</x:t>
  </x:si>
  <x:si>
    <x:t>1. Click "Create New Renter"
2. Switch to "Scan Documents" tab
3. Upload a passport image (drag-and-drop or file picker)
4. Wait for OCR processing (Gemini Flash API)</x:t>
  </x:si>
  <x:si>
    <x:t>OCR extracts: Full Name, Document Number, Nationality
Extracted fields auto-populated in the form
Fields can be manually corrected after extraction
Uploaded document shown with badge indicator</x:t>
  </x:si>
  <x:si>
    <x:t>TC-1.6</x:t>
  </x:si>
  <x:si>
    <x:t>Create New Renter - Scan Driving License</x:t>
  </x:si>
  <x:si>
    <x:t>1. In "Scan Documents" tab, upload a driving license image
2. Wait for OCR processing</x:t>
  </x:si>
  <x:si>
    <x:t>License Number, Issuing Country, Expiry Date extracted
Fields populated in the license section
Can upload both passport and license documents</x:t>
  </x:si>
  <x:si>
    <x:t>TC-1.7</x:t>
  </x:si>
  <x:si>
    <x:t>Create Renter - Validation</x:t>
  </x:si>
  <x:si>
    <x:t>1. Click "Create New Renter"
2. Try to save with empty Full Name
3. Try to save with empty Phone</x:t>
  </x:si>
  <x:si>
    <x:t>Validation errors shown for required fields
Cannot save without Full Name and Phone</x:t>
  </x:si>
  <x:si>
    <x:t>TC-1.8</x:t>
  </x:si>
  <x:si>
    <x:t>Remove Uploaded Document</x:t>
  </x:si>
  <x:si>
    <x:t>1. Upload a document in Scan Documents tab
2. Click the remove button on the uploaded document</x:t>
  </x:si>
  <x:si>
    <x:t>Document removed from the list
Previously extracted data remains in fields (not cleared)</x:t>
  </x:si>
  <x:si>
    <x:t>TC-2.1</x:t>
  </x:si>
  <x:si>
    <x:t>Browse Fleet Models</x:t>
  </x:si>
  <x:si>
    <x:t>1. Complete renter selection, proceed to Vehicle step
2. Observe the fleet model grid</x:t>
  </x:si>
  <x:si>
    <x:t>Vehicles grouped by FleetModel (3 per row)
Each card shows: Model name, engine, available units, color availability, price range
Fleet model images loaded (or vehicle type icon fallback)</x:t>
  </x:si>
  <x:si>
    <x:t>TC-2.2</x:t>
  </x:si>
  <x:si>
    <x:t>Select Fleet Model then Vehicle</x:t>
  </x:si>
  <x:si>
    <x:t>1. Click on a fleet model card
2. Observe individual vehicle list within that model
3. Click on a specific vehicle</x:t>
  </x:si>
  <x:si>
    <x:t>Phase 2 shows individual vehicles for selected model
Each vehicle shows: License plate, color, year, daily/hourly rate, deposit
Selected vehicle has highlighted border
Next button enabled</x:t>
  </x:si>
  <x:si>
    <x:t>TC-2.3</x:t>
  </x:si>
  <x:si>
    <x:t>Search/Filter Vehicles</x:t>
  </x:si>
  <x:si>
    <x:t>1. Type a search term in the filter field (e.g., part of a model name)</x:t>
  </x:si>
  <x:si>
    <x:t>Fleet model list filters in real-time
Only matching models displayed</x:t>
  </x:si>
  <x:si>
    <x:t>TC-2.4</x:t>
  </x:si>
  <x:si>
    <x:t>Include Pooled Vehicles</x:t>
  </x:si>
  <x:si>
    <x:t>1. Toggle "Include Pooled" switch
2. Observe vehicles from other shops</x:t>
  </x:si>
  <x:si>
    <x:t>Pooled vehicles from other shops appear
Warning indicator shown for vehicles at different shop locations
Pooled vehicle shows source shop name</x:t>
  </x:si>
  <x:si>
    <x:t>TC-2.5</x:t>
  </x:si>
  <x:si>
    <x:t>Vehicle with No Image</x:t>
  </x:si>
  <x:si>
    <x:t>1. Find a vehicle/fleet model without uploaded images</x:t>
  </x:si>
  <x:si>
    <x:t>Falls back to vehicle type icon instead of broken image</x:t>
  </x:si>
  <x:si>
    <x:t>TC-2.6</x:t>
  </x:si>
  <x:si>
    <x:t>No Available Vehicles</x:t>
  </x:si>
  <x:si>
    <x:t>All vehicles of a fleet model are currently rented.</x:t>
  </x:si>
  <x:si>
    <x:t>1. Observe fleet model with 0 available units</x:t>
  </x:si>
  <x:si>
    <x:t>Model shows 0 available
Cannot select vehicles from that model (or model card is disabled/grayed)</x:t>
  </x:si>
  <x:si>
    <x:t>TC-3.1</x:t>
  </x:si>
  <x:si>
    <x:t>Set Rental Period - Quick Buttons</x:t>
  </x:si>
  <x:si>
    <x:t>1. Select a standard motorbike vehicle
2. On Configure step, click "3 Days" quick button</x:t>
  </x:si>
  <x:si>
    <x:t>Start Date set to today
End Date set to 3 days from today
Duration shows "3 Days"
Total calculated: daily rate x 3</x:t>
  </x:si>
  <x:si>
    <x:t>TC-3.2</x:t>
  </x:si>
  <x:si>
    <x:t>Set Rental Period - Manual Dates</x:t>
  </x:si>
  <x:si>
    <x:t>1. Manually set Start Date to tomorrow
2. Set End Date to 7 days from tomorrow
3. Verify calculated duration</x:t>
  </x:si>
  <x:si>
    <x:t>Duration = 7 days
Quick buttons: 1 Day, 3 Days, 1 Week, 2 Weeks, 1 Month all functional
Price summary updates with each change</x:t>
  </x:si>
  <x:si>
    <x:t>TC-3.3</x:t>
  </x:si>
  <x:si>
    <x:t>Select Insurance Package</x:t>
  </x:si>
  <x:si>
    <x:t>1. Open the Insurance dropdown
2. Review available insurance options (name, description, max coverage, deductible, daily rate)
3. Select an insurance package</x:t>
  </x:si>
  <x:si>
    <x:t>Insurance daily rate added to price summary
Insurance total = daily rate x number of days
"No Insurance" is the default option</x:t>
  </x:si>
  <x:si>
    <x:t>TC-3.4</x:t>
  </x:si>
  <x:si>
    <x:t>Add Accessories</x:t>
  </x:si>
  <x:si>
    <x:t>1. Check an accessory from the list
2. For paid accessories, adjust quantity (min 1, max QuantityAvailable)
3. Check a free (included) accessory</x:t>
  </x:si>
  <x:si>
    <x:t>Paid accessories show daily rate and quantity input
Free accessories highlighted with "Free" label
Accessories total calculated in price summary
Quantity cannot exceed available stock</x:t>
  </x:si>
  <x:si>
    <x:t>TC-3.5</x:t>
  </x:si>
  <x:si>
    <x:t>Driver/Guide Options (Boats &amp; Vans)</x:t>
  </x:si>
  <x:si>
    <x:t>Selected vehicle is a Boat or Van with HasDriverOption/HasGuideOption.</x:t>
  </x:si>
  <x:si>
    <x:t>1. Select a boat or van
2. Check "Include Driver" checkbox
3. Check "Include Tour Guide" checkbox</x:t>
  </x:si>
  <x:si>
    <x:t>Driver daily fee added to price summary
Guide daily fee added to price summary
Options only appear for eligible vehicle types</x:t>
  </x:si>
  <x:si>
    <x:t>TC-3.6</x:t>
  </x:si>
  <x:si>
    <x:t>Pickup/Dropoff Location</x:t>
  </x:si>
  <x:si>
    <x:t>1. Select a pickup location from the location selector
2. Set pickup time (e.g., 10:00)
3. Change time to an out-of-hours time (e.g., 22:00)</x:t>
  </x:si>
  <x:si>
    <x:t>Location fee displayed when location selected
Out-of-hours band detected with fee warning shown
Location fees and out-of-hours fees appear in price summary</x:t>
  </x:si>
  <x:si>
    <x:t>TC-3.7</x:t>
  </x:si>
  <x:si>
    <x:t>Dynamic Pricing</x:t>
  </x:si>
  <x:si>
    <x:t>Dynamic pricing rules configured for the fleet model.</x:t>
  </x:si>
  <x:si>
    <x:t>1. Select dates that trigger a dynamic pricing rule (e.g., peak season)
2. Observe price adjustment</x:t>
  </x:si>
  <x:si>
    <x:t>Adjusted rate per day shown (vs. base rate)
Base total vs. adjusted total displayed
Applied rule summary visible
Per-day breakdown available for review</x:t>
  </x:si>
  <x:si>
    <x:t>TC-3.8</x:t>
  </x:si>
  <x:si>
    <x:t>Price Summary - Sticky Panel</x:t>
  </x:si>
  <x:si>
    <x:t>1. Configure a rental with insurance, accessories, location, driver
2. Scroll through the page</x:t>
  </x:si>
  <x:si>
    <x:t>Sticky price summary panel stays visible
Shows: Vehicle total, Driver/Guide totals, Insurance total, Accessories breakdown, Location fees, Required deposit, Final total</x:t>
  </x:si>
  <x:si>
    <x:t>TC-4.1</x:t>
  </x:si>
  <x:si>
    <x:t>Select Hours - Preset Buttons</x:t>
  </x:si>
  <x:si>
    <x:t>Vehicle supports hourly rental.</x:t>
  </x:si>
  <x:si>
    <x:t>1. Select a vehicle that supports hourly rental
2. Verify duration type selector shows (if vehicle supports both daily and hourly)
3. Switch to Hourly if needed
4. Click "2 Hours" preset button</x:t>
  </x:si>
  <x:si>
    <x:t>Hours set to 2
Start time defaults to now
End time auto-calculated
Total = hourly rate x 2</x:t>
  </x:si>
  <x:si>
    <x:t>TC-4.2</x:t>
  </x:si>
  <x:si>
    <x:t>Package Pricing</x:t>
  </x:si>
  <x:si>
    <x:t>Fleet model has package pricing configured.</x:t>
  </x:si>
  <x:si>
    <x:t>1. Select hours that match a package (e.g., 3 hours)
2. Observe package price vs. linear price</x:t>
  </x:si>
  <x:si>
    <x:t>Package discount shown when available
Package price used instead of linear (hours x rate)
Non-package hours use linear pricing</x:t>
  </x:si>
  <x:si>
    <x:t>TC-4.3</x:t>
  </x:si>
  <x:si>
    <x:t>Custom Hours</x:t>
  </x:si>
  <x:si>
    <x:t>1. Enter custom hours: 5
2. Verify calculation</x:t>
  </x:si>
  <x:si>
    <x:t>Hours accepted (range 1-24)
Total calculated correctly
Start/end time updated</x:t>
  </x:si>
  <x:si>
    <x:t>TC-4.4</x:t>
  </x:si>
  <x:si>
    <x:t>Hourly with Insurance &amp; Accessories</x:t>
  </x:si>
  <x:si>
    <x:t>1. Configure 3-hour rental
2. Select insurance
3. Add accessories</x:t>
  </x:si>
  <x:si>
    <x:t>Insurance and accessories applied per rental (not per hour)
Total includes hourly rate + insurance + accessories</x:t>
  </x:si>
  <x:si>
    <x:t>TC-5.1</x:t>
  </x:si>
  <x:si>
    <x:t>Select Interval - Jet Ski</x:t>
  </x:si>
  <x:si>
    <x:t>Vehicle uses interval pricing (jet ski).</x:t>
  </x:si>
  <x:si>
    <x:t>1. Select a jet ski vehicle
2. On Configure step, observe fixed interval options</x:t>
  </x:si>
  <x:si>
    <x:t>Shows available intervals: 15 min, 30 min, 1 hour
Only intervals with configured rates shown (Rate15Min/Rate30Min/Rate1Hour)
Each shows its specific rate</x:t>
  </x:si>
  <x:si>
    <x:t>TC-5.2</x:t>
  </x:si>
  <x:si>
    <x:t>15-Minute Interval</x:t>
  </x:si>
  <x:si>
    <x:t>1. Select 15-minute interval
2. Set start time</x:t>
  </x:si>
  <x:si>
    <x:t>End time = start time + 15 minutes
Rate = Rate15Min for the vehicle
TotalAmount calculated</x:t>
  </x:si>
  <x:si>
    <x:t>TC-5.3</x:t>
  </x:si>
  <x:si>
    <x:t>1-Hour Interval</x:t>
  </x:si>
  <x:si>
    <x:t>1. Select 1-hour interval
2. Set start date and time</x:t>
  </x:si>
  <x:si>
    <x:t>End time = start time + 60 minutes
Rate = Rate1Hour for the vehicle</x:t>
  </x:si>
  <x:si>
    <x:t>TC-6.1</x:t>
  </x:si>
  <x:si>
    <x:t>Cash Deposit</x:t>
  </x:si>
  <x:si>
    <x:t>1. Reach the Deposit step
2. Verify rental amount and required deposit displayed
3. Select Deposit Type: Cash
4. Enter deposit amount matching the required amount
5. Select Rental Payment Method: Cash
6. Check the confirmation checkbox</x:t>
  </x:si>
  <x:si>
    <x:t>Amount field accepts the deposit
Confirmation checkbox enables proceeding
"Deposit Collected" status shown</x:t>
  </x:si>
  <x:si>
    <x:t>TC-6.2</x:t>
  </x:si>
  <x:si>
    <x:t>Cash Deposit - Below Required</x:t>
  </x:si>
  <x:si>
    <x:t>1. Select Cash deposit
2. Enter amount less than required deposit</x:t>
  </x:si>
  <x:si>
    <x:t>Warning message shown that amount is below required
Still allows proceeding (soft validation)</x:t>
  </x:si>
  <x:si>
    <x:t>TC-6.3</x:t>
  </x:si>
  <x:si>
    <x:t>Cash Deposit - Above Required</x:t>
  </x:si>
  <x:si>
    <x:t>1. Select Cash deposit
2. Enter amount exceeding required deposit</x:t>
  </x:si>
  <x:si>
    <x:t>Info message shown that amount exceeds required
Accepted without error</x:t>
  </x:si>
  <x:si>
    <x:t>TC-6.4</x:t>
  </x:si>
  <x:si>
    <x:t>Card Pre-Authorization</x:t>
  </x:si>
  <x:si>
    <x:t>1. Select Deposit Type: Card Pre-Auth
2. Enter Card Last 4 Digits: "4567"
3. Enter Auth Reference: "AUTH-123456"
4. Enter Pre-Auth Amount</x:t>
  </x:si>
  <x:si>
    <x:t>Card last 4, auth ref, and amount captured
Deposit type recorded as "CardPreAuth"</x:t>
  </x:si>
  <x:si>
    <x:t>TC-6.5</x:t>
  </x:si>
  <x:si>
    <x:t>Passport Hold</x:t>
  </x:si>
  <x:si>
    <x:t>1. Select Deposit Type: Passport
2. Enter Passport Number
3. Verify warning about passport holding displayed</x:t>
  </x:si>
  <x:si>
    <x:t>No amount field (amount = 0 for passport holds)
Warning message about holding passport shown
"Passport Held" status displayed
Passport number stored</x:t>
  </x:si>
  <x:si>
    <x:t>TC-6.6</x:t>
  </x:si>
  <x:si>
    <x:t>Rental Payment Method - Non-Cash</x:t>
  </x:si>
  <x:si>
    <x:t>1. Select Rental Payment Method: BankTransfer
2. Enter payment transaction ref</x:t>
  </x:si>
  <x:si>
    <x:t>Transaction ref field appears for non-cash methods
Payment ref stored separately from deposit info</x:t>
  </x:si>
  <x:si>
    <x:t>TC-6.7</x:t>
  </x:si>
  <x:si>
    <x:t>Skip Confirmation Checkbox</x:t>
  </x:si>
  <x:si>
    <x:t>1. Fill in deposit details but do not check the confirmation checkbox
2. Try to proceed to next step</x:t>
  </x:si>
  <x:si>
    <x:t>Cannot proceed without checking confirmation checkbox</x:t>
  </x:si>
  <x:si>
    <x:t>TC-7.1</x:t>
  </x:si>
  <x:si>
    <x:t>Select Shop Staff Inspector</x:t>
  </x:si>
  <x:si>
    <x:t>1. Reach the Inspection step
2. Select "Shop Staff" mode
3. Choose a staff member from the dropdown (filtered to Rental/Maintenance roles)
4. Add inspection notes (optional)</x:t>
  </x:si>
  <x:si>
    <x:t>Dropdown shows staff with OrgAdmin, ShopManager, Staff, or Mechanic roles
Selected inspector name shown in confirmation
IsSystemUser = true</x:t>
  </x:si>
  <x:si>
    <x:t>TC-7.2</x:t>
  </x:si>
  <x:si>
    <x:t>Select External Inspector</x:t>
  </x:si>
  <x:si>
    <x:t>1. Switch to "External Inspector" mode
2. Enter inspector name: "Thai Vehicle Inspections"
3. Enter company affiliation: "TVI Co., Ltd."
4. Add notes</x:t>
  </x:si>
  <x:si>
    <x:t>Inspector name and company stored
IsSystemUser = false
Confirmation shows name with affiliation</x:t>
  </x:si>
  <x:si>
    <x:t>TC-7.3</x:t>
  </x:si>
  <x:si>
    <x:t>Skip Inspection Selection</x:t>
  </x:si>
  <x:si>
    <x:t>1. Reach Inspection step without selecting an inspector
2. Try to proceed to Agreement step</x:t>
  </x:si>
  <x:si>
    <x:t>Cannot advance without selecting an inspector
Validation message shown</x:t>
  </x:si>
  <x:si>
    <x:t>TC-8.1</x:t>
  </x:si>
  <x:si>
    <x:t>Review Rental Summary</x:t>
  </x:si>
  <x:si>
    <x:t>1. Reach the Agreement step
2. Review the rental summary panel</x:t>
  </x:si>
  <x:si>
    <x:t>Renter details: Name, phone, passport/ID
Vehicle details: Type, brand, model, license plate, mileage
Duration details vary by type:
Daily: Start-End dates, day count, daily rate
Hourly: Hours, hourly rate, start time
Interval: Duration (15/30/60 min), rate
Driver/Guide inclusions (if selected)
Insurance name (if selected)
Accessories list
Deposit type and amount
Total amount</x:t>
  </x:si>
  <x:si>
    <x:t>TC-8.2</x:t>
  </x:si>
  <x:si>
    <x:t>Accept Terms &amp; Conditions</x:t>
  </x:si>
  <x:si>
    <x:t>1. Read/scroll through the terms &amp; conditions text area
2. Check the acceptance checkbox</x:t>
  </x:si>
  <x:si>
    <x:t>Terms text loaded from localized resource
Checkbox enables/disables Complete button (along with print requirement)</x:t>
  </x:si>
  <x:si>
    <x:t>TC-8.3</x:t>
  </x:si>
  <x:si>
    <x:t>Print Agreement - Single Template</x:t>
  </x:si>
  <x:si>
    <x:t>Only 1 approved RentalAgreement template exists.</x:t>
  </x:si>
  <x:si>
    <x:t>1. Click "Print Agreement" button
2. Verify print page opens in new window</x:t>
  </x:si>
  <x:si>
    <x:t>Print page URL includes: RenterId, VehicleId, TemplateId, and rental parameters
Agreement rendered with all rental details</x:t>
  </x:si>
  <x:si>
    <x:t>TC-8.4</x:t>
  </x:si>
  <x:si>
    <x:t>Print Agreement - Multiple Templates</x:t>
  </x:si>
  <x:si>
    <x:t>Multiple approved RentalAgreement templates exist.</x:t>
  </x:si>
  <x:si>
    <x:t>1. Click the print dropdown
2. Select a specific template
3. Verify print page opens</x:t>
  </x:si>
  <x:si>
    <x:t>Dropdown lists all approved templates
Each template generates correct print output</x:t>
  </x:si>
  <x:si>
    <x:t>TC-8.5</x:t>
  </x:si>
  <x:si>
    <x:t>Complete Check-In</x:t>
  </x:si>
  <x:si>
    <x:t>1. Accept terms (checkbox checked)
2. Print agreement (tracked flag set)
3. Click "Complete" button
4. Wait for processing</x:t>
  </x:si>
  <x:si>
    <x:t>Spinner shown during processing
Rental created with Status = "Active"
Redirects to rental details or confirmation page
Vehicle status changes to "Rented"
Till transaction created for payment and deposit</x:t>
  </x:si>
  <x:si>
    <x:t>TC-8.6</x:t>
  </x:si>
  <x:si>
    <x:t>Complete Check-In - Not Printed</x:t>
  </x:si>
  <x:si>
    <x:t>1. Accept terms but do not print the agreement
2. Try to click "Complete"</x:t>
  </x:si>
  <x:si>
    <x:t>Complete button disabled until agreement is printed
Must print before completing</x:t>
  </x:si>
  <x:si>
    <x:t>TC-9.1</x:t>
  </x:si>
  <x:si>
    <x:t>Pre-filled Booking Check-In</x:t>
  </x:si>
  <x:si>
    <x:t>Confirmed booking with linked renter and preferred vehicle.</x:t>
  </x:si>
  <x:si>
    <x:t>1. Navigate to `/rentals/checkin/{BookingRef}`
2. Observe pre-filled data</x:t>
  </x:si>
  <x:si>
    <x:t>Renter auto-selected from booking's linked renter
Vehicle matched by PreferredVehicleId or FleetModelId + color
Start/End dates from booking
Insurance from booking preferences
Toast message about booking source displayed</x:t>
  </x:si>
  <x:si>
    <x:t>TC-9.2</x:t>
  </x:si>
  <x:si>
    <x:t>Booking Check-In - No Linked Renter</x:t>
  </x:si>
  <x:si>
    <x:t>Booking without linked RenterId.</x:t>
  </x:si>
  <x:si>
    <x:t>1. Check in from a booking where renter was not linked
2. Observe Step 0 (Renter)</x:t>
  </x:si>
  <x:si>
    <x:t>Customer info from booking used to search/create renter
Staff can create new renter from booking customer data</x:t>
  </x:si>
  <x:si>
    <x:t>TC-9.3</x:t>
  </x:si>
  <x:si>
    <x:t>Booking Check-In - Invalid Status</x:t>
  </x:si>
  <x:si>
    <x:t>Booking with Status = "Cancelled" or "Completed".</x:t>
  </x:si>
  <x:si>
    <x:t>1. Navigate to `/rentals/checkin/{BookingRef}` for a cancelled booking</x:t>
  </x:si>
  <x:si>
    <x:t>Error message displayed
Cannot proceed with check-in
Only Pending or Confirmed bookings allowed</x:t>
  </x:si>
  <x:si>
    <x:t>TC-9.4</x:t>
  </x:si>
  <x:si>
    <x:t>Booking Check-In - Updates Booking</x:t>
  </x:si>
  <x:si>
    <x:t>1. Complete check-in from a booking
2. Navigate back to booking details</x:t>
  </x:si>
  <x:si>
    <x:t>Booking item status = "CheckedIn"
Assigned vehicle plate and shop shown on item
RentalId linked to the booking item
Booking status = "CheckedIn" (if first item checked in)</x:t>
  </x:si>
  <x:si>
    <x:t>TC-10.1</x:t>
  </x:si>
  <x:si>
    <x:t>View Rental List</x:t>
  </x:si>
  <x:si>
    <x:t>1. Navigate to `/rentals`
2. Observe summary cards and rental list</x:t>
  </x:si>
  <x:si>
    <x:t>Summary cards: Active, Due Today, Overdue, Completed counts
Each card clickable to filter the list
Rental entries show vehicle, renter, dates, status</x:t>
  </x:si>
  <x:si>
    <x:t>TC-10.2</x:t>
  </x:si>
  <x:si>
    <x:t>Filter Rental Tabs</x:t>
  </x:si>
  <x:si>
    <x:t>1. Click "Active" tab
2. Click "Due Today" tab
3. Click "Overdue" tab
4. Click "Completed" tab</x:t>
  </x:si>
  <x:si>
    <x:t>List filters to matching status
Due Today shows rentals with expected return date = today
Overdue shows rentals past expected return date</x:t>
  </x:si>
  <x:si>
    <x:t>TC-10.3</x:t>
  </x:si>
  <x:si>
    <x:t>Search Rentals</x:t>
  </x:si>
  <x:si>
    <x:t>1. Type renter name or license plate in search bar</x:t>
  </x:si>
  <x:si>
    <x:t>Real-time filtering of rental list
Matches by renter name, vehicle plate, or rental reference</x:t>
  </x:si>
  <x:si>
    <x:t>TC-11.1</x:t>
  </x:si>
  <x:si>
    <x:t>Vehicle with Interval Pricing (Jet Ski)</x:t>
  </x:si>
  <x:si>
    <x:t>1. Select a vehicle where `UsesIntervalPricing = true`</x:t>
  </x:si>
  <x:si>
    <x:t>Automatically routes to Interval configuration step
No option to switch to daily/hourly</x:t>
  </x:si>
  <x:si>
    <x:t>TC-11.2</x:t>
  </x:si>
  <x:si>
    <x:t>Vehicle with Both Daily and Hourly</x:t>
  </x:si>
  <x:si>
    <x:t>1. Select a vehicle where `SupportsHourlyRental = true` AND `DailyRate &gt; 0`</x:t>
  </x:si>
  <x:si>
    <x:t>Toggle shown to switch between Daily and Hourly configuration
Both options functional</x:t>
  </x:si>
  <x:si>
    <x:t>TC-11.3</x:t>
  </x:si>
  <x:si>
    <x:t>Vehicle with Hourly Only</x:t>
  </x:si>
  <x:si>
    <x:t>1. Select a vehicle where `SupportsHourlyRental = true` but no `DailyRate`</x:t>
  </x:si>
  <x:si>
    <x:t>Defaults to Hourly configuration
No toggle to switch to Daily</x:t>
  </x:si>
  <x:si>
    <x:t>TC-11.4</x:t>
  </x:si>
  <x:si>
    <x:t>Vehicle with Daily Only</x:t>
  </x:si>
  <x:si>
    <x:t>1. Select a standard motorbike (DailyRate set, no hourly support)</x:t>
  </x:si>
  <x:si>
    <x:t>Defaults to Daily configuration
No toggle shown</x:t>
  </x:si>
  <x:si>
    <x:t>TC-12.1</x:t>
  </x:si>
  <x:si>
    <x:t>Check-In Without Active Till</x:t>
  </x:si>
  <x:si>
    <x:t>1. Close all till sessions
2. Navigate to `/rentals/checkin`</x:t>
  </x:si>
  <x:si>
    <x:t>Error or redirect indicating active till session required
Cannot proceed with check-in</x:t>
  </x:si>
  <x:si>
    <x:t>Edge</x:t>
  </x:si>
  <x:si>
    <x:t>TC-12.2</x:t>
  </x:si>
  <x:si>
    <x:t>Select Pooled Vehicle from Different Shop</x:t>
  </x:si>
  <x:si>
    <x:t>1. Enable "Include Pooled" toggle
2. Select a vehicle from a different shop
3. Complete check-in</x:t>
  </x:si>
  <x:si>
    <x:t>Warning about vehicle being at different location
Check-in still possible (vehicle is pooled)</x:t>
  </x:si>
  <x:si>
    <x:t>TC-12.3</x:t>
  </x:si>
  <x:si>
    <x:t>Accessory Out of Stock</x:t>
  </x:si>
  <x:si>
    <x:t>Accessory with QuantityAvailable = 0.</x:t>
  </x:si>
  <x:si>
    <x:t>1. Observe accessory list in Configure step</x:t>
  </x:si>
  <x:si>
    <x:t>Out-of-stock accessories not selectable or shown as unavailable
Quantity max respects QuantityAvailable</x:t>
  </x:si>
  <x:si>
    <x:t>TC-12.4</x:t>
  </x:si>
  <x:si>
    <x:t>Multiple Quick Date Buttons</x:t>
  </x:si>
  <x:si>
    <x:t>1. Click "1 Day", verify dates
2. Click "1 Week", verify dates change
3. Click "1 Month", verify dates change</x:t>
  </x:si>
  <x:si>
    <x:t>Each button recalculates correctly
Price summary updates with each change
End date adjusts from current start date</x:t>
  </x:si>
  <x:si>
    <x:t>TC-12.5</x:t>
  </x:si>
  <x:si>
    <x:t>Extremely Long Rental</x:t>
  </x:si>
  <x:si>
    <x:t>1. Set End Date to 90 days from Start Date
2. Add insurance and accessories</x:t>
  </x:si>
  <x:si>
    <x:t>Total calculated correctly for 90 days
Insurance: daily rate x 90
Accessories: daily rate x 90
Large total amount displayed without formatting issues</x:t>
  </x:si>
  <x:si>
    <x:t>TC-12.6</x:t>
  </x:si>
  <x:si>
    <x:t>Navigate Backward After Completing Steps</x:t>
  </x:si>
  <x:si>
    <x:t>1. Complete all steps to Step 5
2. Click Previous to go back to Step 2
3. Change the insurance selection
4. Navigate forward to Step 5 again</x:t>
  </x:si>
  <x:si>
    <x:t>Changed insurance reflected in agreement summary
Total recalculated
Previously entered data in other steps preserved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</x:si>
</x:sst>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0%"/>
    <x:numFmt numFmtId="165" formatCode="yyyy-mm-dd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206BC4"/>
      </x:patternFill>
    </x:fill>
    <x:fill>
      <x:patternFill patternType="solid">
        <x:fgColor rgb="FFF4F6FA"/>
      </x:patternFill>
    </x:fill>
    <x:fill>
      <x:patternFill patternType="solid">
        <x:fgColor rgb="FFE6ECF5"/>
      </x:patternFill>
    </x:fill>
    <x:fill>
      <x:patternFill patternType="solid">
        <x:fgColor rgb="FFF8F9FC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DEE2E6"/>
      </x:left>
      <x:right style="thin">
        <x:color rgb="FFDEE2E6"/>
      </x:right>
      <x:top style="thin">
        <x:color rgb="FFDEE2E6"/>
      </x:top>
      <x:bottom style="thin">
        <x:color rgb="FFDEE2E6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164" fontId="0" fillId="3" borderId="1" applyNumberFormat="1" applyFill="0" applyBorder="1" applyAlignment="1" applyProtection="1">
      <x:protection locked="1" hidden="0"/>
    </x:xf>
    <x:xf numFmtId="0" fontId="2" fillId="4" borderId="1" applyNumberFormat="1" applyFill="0" applyBorder="1" applyAlignment="1" applyProtection="1">
      <x:protection locked="1" hidden="0"/>
    </x:xf>
    <x:xf numFmtId="164" fontId="2" fillId="4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5" borderId="2" applyNumberFormat="1" applyFill="0" applyBorder="1" applyAlignment="1" applyProtection="1">
      <x:protection locked="1" hidden="0"/>
    </x:xf>
    <x:xf numFmtId="165" fontId="0" fillId="5" borderId="2" applyNumberFormat="1" applyFill="0" applyBorder="1" applyAlignment="1" applyProtection="1">
      <x:protection locked="1" hidden="0"/>
    </x:xf>
  </x:cellStyleXfs>
  <x:cellXfs count="1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2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2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0" fillId="5" borderId="2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9">
    <x:dxf>
      <x:fill>
        <x:patternFill patternType="solid">
          <x:fgColor auto="1"/>
          <x:bgColor rgb="FFD5F0D5"/>
        </x:patternFill>
      </x:fill>
    </x:dxf>
    <x:dxf>
      <x:fill>
        <x:patternFill patternType="solid">
          <x:fgColor auto="1"/>
          <x:bgColor rgb="FFFFF3CD"/>
        </x:patternFill>
      </x:fill>
    </x:dxf>
    <x:dxf>
      <x:fill>
        <x:patternFill patternType="solid">
          <x:fgColor auto="1"/>
          <x:bgColor rgb="FFF8D7DA"/>
        </x:patternFill>
      </x:fill>
    </x:dxf>
    <x:dxf>
      <x:font>
        <x:color rgb="FF1A7A1A"/>
      </x:font>
      <x:fill>
        <x:patternFill patternType="solid">
          <x:fgColor auto="1"/>
          <x:bgColor rgb="FFD5F0D5"/>
        </x:patternFill>
      </x:fill>
    </x:dxf>
    <x:dxf>
      <x:font>
        <x:color rgb="FF842029"/>
      </x:font>
      <x:fill>
        <x:patternFill patternType="solid">
          <x:fgColor auto="1"/>
          <x:bgColor rgb="FFF8D7DA"/>
        </x:patternFill>
      </x:fill>
    </x:dxf>
    <x:dxf>
      <x:font>
        <x:color rgb="FF664D03"/>
      </x:font>
      <x:fill>
        <x:patternFill patternType="solid">
          <x:fgColor auto="1"/>
          <x:bgColor rgb="FFFFF3CD"/>
        </x:patternFill>
      </x:fill>
    </x:dxf>
    <x:dxf>
      <x:font>
        <x:color rgb="FF41464B"/>
      </x:font>
      <x:fill>
        <x:patternFill patternType="solid">
          <x:fgColor auto="1"/>
          <x:bgColor rgb="FFE2E3E5"/>
        </x:patternFill>
      </x:fill>
    </x:dxf>
    <x:dxf>
      <x:fill>
        <x:patternFill patternType="solid">
          <x:fgColor auto="1"/>
          <x:bgColor rgb="FFCFE2FF"/>
        </x:patternFill>
      </x:fill>
    </x:dxf>
    <x:dxf>
      <x:fill>
        <x:patternFill patternType="solid">
          <x:fgColor auto="1"/>
          <x:bgColor rgb="FFE2E3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2"/>
  <x:sheetViews>
    <x:sheetView workbookViewId="0">
      <x:pane xSplit="0" ySplit="19" topLeftCell="A20" activePane="bottomLeft" state="frozenSplit"/>
    </x:sheetView>
  </x:sheetViews>
  <x:sheetFormatPr defaultRowHeight="15"/>
  <x:cols>
    <x:col min="1" max="1" width="40.710625" style="0" customWidth="1"/>
    <x:col min="2" max="5" width="10.710625" style="0" customWidth="1"/>
    <x:col min="6" max="7" width="12.710625" style="0" customWidth="1"/>
  </x:cols>
  <x:sheetData>
    <x:row r="1" spans="1:7">
      <x:c r="A1" s="1" t="s">
        <x:v>0</x:v>
      </x:c>
    </x:row>
    <x:row r="3" spans="1:7">
      <x:c r="A3" s="2" t="s">
        <x:v>1</x:v>
      </x:c>
      <x:c r="B3" s="0" t="s">
        <x:v>2</x:v>
      </x:c>
    </x:row>
    <x:row r="4" spans="1:7">
      <x:c r="A4" s="2" t="s">
        <x:v>3</x:v>
      </x:c>
      <x:c r="B4" s="0" t="s">
        <x:v>4</x:v>
      </x:c>
    </x:row>
    <x:row r="5" spans="1:7">
      <x:c r="A5" s="2" t="s">
        <x:v>5</x:v>
      </x:c>
      <x:c r="B5" s="0" t="s">
        <x:v>6</x:v>
      </x:c>
    </x:row>
    <x:row r="7" spans="1:7">
      <x:c r="A7" s="3" t="s">
        <x:v>7</x:v>
      </x:c>
    </x:row>
    <x:row r="8" spans="1:7">
      <x:c r="A8" s="0" t="s">
        <x:v>8</x:v>
      </x:c>
      <x:c r="B8" s="0" t="s">
        <x:v>9</x:v>
      </x:c>
    </x:row>
    <x:row r="9" spans="1:7">
      <x:c r="A9" s="0" t="s">
        <x:v>8</x:v>
      </x:c>
      <x:c r="B9" s="0" t="s">
        <x:v>10</x:v>
      </x:c>
    </x:row>
    <x:row r="10" spans="1:7">
      <x:c r="A10" s="0" t="s">
        <x:v>8</x:v>
      </x:c>
      <x:c r="B10" s="0" t="s">
        <x:v>11</x:v>
      </x:c>
    </x:row>
    <x:row r="11" spans="1:7">
      <x:c r="A11" s="0" t="s">
        <x:v>8</x:v>
      </x:c>
      <x:c r="B11" s="0" t="s">
        <x:v>12</x:v>
      </x:c>
    </x:row>
    <x:row r="12" spans="1:7">
      <x:c r="A12" s="0" t="s">
        <x:v>8</x:v>
      </x:c>
      <x:c r="B12" s="0" t="s">
        <x:v>13</x:v>
      </x:c>
    </x:row>
    <x:row r="13" spans="1:7">
      <x:c r="A13" s="0" t="s">
        <x:v>8</x:v>
      </x:c>
      <x:c r="B13" s="0" t="s">
        <x:v>14</x:v>
      </x:c>
    </x:row>
    <x:row r="14" spans="1:7">
      <x:c r="A14" s="0" t="s">
        <x:v>8</x:v>
      </x:c>
      <x:c r="B14" s="0" t="s">
        <x:v>15</x:v>
      </x:c>
    </x:row>
    <x:row r="15" spans="1:7">
      <x:c r="A15" s="0" t="s">
        <x:v>8</x:v>
      </x:c>
      <x:c r="B15" s="0" t="s">
        <x:v>16</x:v>
      </x:c>
    </x:row>
    <x:row r="16" spans="1:7">
      <x:c r="A16" s="0" t="s">
        <x:v>8</x:v>
      </x:c>
      <x:c r="B16" s="0" t="s">
        <x:v>17</x:v>
      </x:c>
    </x:row>
    <x:row r="18" spans="1:7">
      <x:c r="A18" s="3" t="s">
        <x:v>18</x:v>
      </x:c>
    </x:row>
    <x:row r="19" spans="1:7">
      <x:c r="A19" s="4" t="s">
        <x:v>19</x:v>
      </x:c>
      <x:c r="B19" s="4" t="s">
        <x:v>20</x:v>
      </x:c>
      <x:c r="C19" s="4" t="s">
        <x:v>21</x:v>
      </x:c>
      <x:c r="D19" s="4" t="s">
        <x:v>22</x:v>
      </x:c>
      <x:c r="E19" s="4" t="s">
        <x:v>23</x:v>
      </x:c>
      <x:c r="F19" s="4" t="s">
        <x:v>24</x:v>
      </x:c>
      <x:c r="G19" s="4" t="s">
        <x:v>25</x:v>
      </x:c>
    </x:row>
    <x:row r="20" spans="1:7">
      <x:c r="A20" s="5" t="s">
        <x:v>26</x:v>
      </x:c>
      <x:c r="B20" s="5">
        <x:v>8</x:v>
      </x:c>
      <x:c r="C20" s="5">
        <x:f>COUNTIFS('Test Cases'!B:B,"Renter Selection - Step 0",'Test Cases'!G:G,"Pass")</x:f>
      </x:c>
      <x:c r="D20" s="5">
        <x:f>COUNTIFS('Test Cases'!B:B,"Renter Selection - Step 0",'Test Cases'!G:G,"Fail")</x:f>
      </x:c>
      <x:c r="E20" s="5">
        <x:f>COUNTIFS('Test Cases'!B:B,"Renter Selection - Step 0",'Test Cases'!G:G,"Blocked")</x:f>
      </x:c>
      <x:c r="F20" s="5">
        <x:f>COUNTIFS('Test Cases'!B:B,"Renter Selection - Step 0",'Test Cases'!G:G,"Not Tested")</x:f>
      </x:c>
      <x:c r="G20" s="6">
        <x:f>IF(B20=0,0,(COUNTIFS('Test Cases'!B:B,"Renter Selection - Step 0",'Test Cases'!G:G,"&lt;&gt;Not Tested")/B20))</x:f>
      </x:c>
    </x:row>
    <x:row r="21" spans="1:7">
      <x:c r="A21" s="7" t="s">
        <x:v>27</x:v>
      </x:c>
      <x:c r="B21" s="7">
        <x:v>6</x:v>
      </x:c>
      <x:c r="C21" s="7">
        <x:f>COUNTIFS('Test Cases'!B:B,"Vehicle Selection - Step 1",'Test Cases'!G:G,"Pass")</x:f>
      </x:c>
      <x:c r="D21" s="7">
        <x:f>COUNTIFS('Test Cases'!B:B,"Vehicle Selection - Step 1",'Test Cases'!G:G,"Fail")</x:f>
      </x:c>
      <x:c r="E21" s="7">
        <x:f>COUNTIFS('Test Cases'!B:B,"Vehicle Selection - Step 1",'Test Cases'!G:G,"Blocked")</x:f>
      </x:c>
      <x:c r="F21" s="7">
        <x:f>COUNTIFS('Test Cases'!B:B,"Vehicle Selection - Step 1",'Test Cases'!G:G,"Not Tested")</x:f>
      </x:c>
      <x:c r="G21" s="8">
        <x:f>IF(B21=0,0,(COUNTIFS('Test Cases'!B:B,"Vehicle Selection - Step 1",'Test Cases'!G:G,"&lt;&gt;Not Tested")/B21))</x:f>
      </x:c>
    </x:row>
    <x:row r="22" spans="1:7">
      <x:c r="A22" s="5" t="s">
        <x:v>28</x:v>
      </x:c>
      <x:c r="B22" s="5">
        <x:v>8</x:v>
      </x:c>
      <x:c r="C22" s="5">
        <x:f>COUNTIFS('Test Cases'!B:B,"Configure Daily Rental - Step 2",'Test Cases'!G:G,"Pass")</x:f>
      </x:c>
      <x:c r="D22" s="5">
        <x:f>COUNTIFS('Test Cases'!B:B,"Configure Daily Rental - Step 2",'Test Cases'!G:G,"Fail")</x:f>
      </x:c>
      <x:c r="E22" s="5">
        <x:f>COUNTIFS('Test Cases'!B:B,"Configure Daily Rental - Step 2",'Test Cases'!G:G,"Blocked")</x:f>
      </x:c>
      <x:c r="F22" s="5">
        <x:f>COUNTIFS('Test Cases'!B:B,"Configure Daily Rental - Step 2",'Test Cases'!G:G,"Not Tested")</x:f>
      </x:c>
      <x:c r="G22" s="6">
        <x:f>IF(B22=0,0,(COUNTIFS('Test Cases'!B:B,"Configure Daily Rental - Step 2",'Test Cases'!G:G,"&lt;&gt;Not Tested")/B22))</x:f>
      </x:c>
    </x:row>
    <x:row r="23" spans="1:7">
      <x:c r="A23" s="7" t="s">
        <x:v>29</x:v>
      </x:c>
      <x:c r="B23" s="7">
        <x:v>4</x:v>
      </x:c>
      <x:c r="C23" s="7">
        <x:f>COUNTIFS('Test Cases'!B:B,"Configure Hourly Rental - Step 2",'Test Cases'!G:G,"Pass")</x:f>
      </x:c>
      <x:c r="D23" s="7">
        <x:f>COUNTIFS('Test Cases'!B:B,"Configure Hourly Rental - Step 2",'Test Cases'!G:G,"Fail")</x:f>
      </x:c>
      <x:c r="E23" s="7">
        <x:f>COUNTIFS('Test Cases'!B:B,"Configure Hourly Rental - Step 2",'Test Cases'!G:G,"Blocked")</x:f>
      </x:c>
      <x:c r="F23" s="7">
        <x:f>COUNTIFS('Test Cases'!B:B,"Configure Hourly Rental - Step 2",'Test Cases'!G:G,"Not Tested")</x:f>
      </x:c>
      <x:c r="G23" s="8">
        <x:f>IF(B23=0,0,(COUNTIFS('Test Cases'!B:B,"Configure Hourly Rental - Step 2",'Test Cases'!G:G,"&lt;&gt;Not Tested")/B23))</x:f>
      </x:c>
    </x:row>
    <x:row r="24" spans="1:7">
      <x:c r="A24" s="5" t="s">
        <x:v>30</x:v>
      </x:c>
      <x:c r="B24" s="5">
        <x:v>3</x:v>
      </x:c>
      <x:c r="C24" s="5">
        <x:f>COUNTIFS('Test Cases'!B:B,"Configure Interval Rental - Step 2",'Test Cases'!G:G,"Pass")</x:f>
      </x:c>
      <x:c r="D24" s="5">
        <x:f>COUNTIFS('Test Cases'!B:B,"Configure Interval Rental - Step 2",'Test Cases'!G:G,"Fail")</x:f>
      </x:c>
      <x:c r="E24" s="5">
        <x:f>COUNTIFS('Test Cases'!B:B,"Configure Interval Rental - Step 2",'Test Cases'!G:G,"Blocked")</x:f>
      </x:c>
      <x:c r="F24" s="5">
        <x:f>COUNTIFS('Test Cases'!B:B,"Configure Interval Rental - Step 2",'Test Cases'!G:G,"Not Tested")</x:f>
      </x:c>
      <x:c r="G24" s="6">
        <x:f>IF(B24=0,0,(COUNTIFS('Test Cases'!B:B,"Configure Interval Rental - Step 2",'Test Cases'!G:G,"&lt;&gt;Not Tested")/B24))</x:f>
      </x:c>
    </x:row>
    <x:row r="25" spans="1:7">
      <x:c r="A25" s="7" t="s">
        <x:v>31</x:v>
      </x:c>
      <x:c r="B25" s="7">
        <x:v>7</x:v>
      </x:c>
      <x:c r="C25" s="7">
        <x:f>COUNTIFS('Test Cases'!B:B,"Collect Deposit - Step 3",'Test Cases'!G:G,"Pass")</x:f>
      </x:c>
      <x:c r="D25" s="7">
        <x:f>COUNTIFS('Test Cases'!B:B,"Collect Deposit - Step 3",'Test Cases'!G:G,"Fail")</x:f>
      </x:c>
      <x:c r="E25" s="7">
        <x:f>COUNTIFS('Test Cases'!B:B,"Collect Deposit - Step 3",'Test Cases'!G:G,"Blocked")</x:f>
      </x:c>
      <x:c r="F25" s="7">
        <x:f>COUNTIFS('Test Cases'!B:B,"Collect Deposit - Step 3",'Test Cases'!G:G,"Not Tested")</x:f>
      </x:c>
      <x:c r="G25" s="8">
        <x:f>IF(B25=0,0,(COUNTIFS('Test Cases'!B:B,"Collect Deposit - Step 3",'Test Cases'!G:G,"&lt;&gt;Not Tested")/B25))</x:f>
      </x:c>
    </x:row>
    <x:row r="26" spans="1:7">
      <x:c r="A26" s="5" t="s">
        <x:v>32</x:v>
      </x:c>
      <x:c r="B26" s="5">
        <x:v>3</x:v>
      </x:c>
      <x:c r="C26" s="5">
        <x:f>COUNTIFS('Test Cases'!B:B,"Pre-Rental Inspection - Step 4",'Test Cases'!G:G,"Pass")</x:f>
      </x:c>
      <x:c r="D26" s="5">
        <x:f>COUNTIFS('Test Cases'!B:B,"Pre-Rental Inspection - Step 4",'Test Cases'!G:G,"Fail")</x:f>
      </x:c>
      <x:c r="E26" s="5">
        <x:f>COUNTIFS('Test Cases'!B:B,"Pre-Rental Inspection - Step 4",'Test Cases'!G:G,"Blocked")</x:f>
      </x:c>
      <x:c r="F26" s="5">
        <x:f>COUNTIFS('Test Cases'!B:B,"Pre-Rental Inspection - Step 4",'Test Cases'!G:G,"Not Tested")</x:f>
      </x:c>
      <x:c r="G26" s="6">
        <x:f>IF(B26=0,0,(COUNTIFS('Test Cases'!B:B,"Pre-Rental Inspection - Step 4",'Test Cases'!G:G,"&lt;&gt;Not Tested")/B26))</x:f>
      </x:c>
    </x:row>
    <x:row r="27" spans="1:7">
      <x:c r="A27" s="7" t="s">
        <x:v>33</x:v>
      </x:c>
      <x:c r="B27" s="7">
        <x:v>6</x:v>
      </x:c>
      <x:c r="C27" s="7">
        <x:f>COUNTIFS('Test Cases'!B:B,"Agreement &amp; Signature - Step 5",'Test Cases'!G:G,"Pass")</x:f>
      </x:c>
      <x:c r="D27" s="7">
        <x:f>COUNTIFS('Test Cases'!B:B,"Agreement &amp; Signature - Step 5",'Test Cases'!G:G,"Fail")</x:f>
      </x:c>
      <x:c r="E27" s="7">
        <x:f>COUNTIFS('Test Cases'!B:B,"Agreement &amp; Signature - Step 5",'Test Cases'!G:G,"Blocked")</x:f>
      </x:c>
      <x:c r="F27" s="7">
        <x:f>COUNTIFS('Test Cases'!B:B,"Agreement &amp; Signature - Step 5",'Test Cases'!G:G,"Not Tested")</x:f>
      </x:c>
      <x:c r="G27" s="8">
        <x:f>IF(B27=0,0,(COUNTIFS('Test Cases'!B:B,"Agreement &amp; Signature - Step 5",'Test Cases'!G:G,"&lt;&gt;Not Tested")/B27))</x:f>
      </x:c>
    </x:row>
    <x:row r="28" spans="1:7">
      <x:c r="A28" s="5" t="s">
        <x:v>34</x:v>
      </x:c>
      <x:c r="B28" s="5">
        <x:v>4</x:v>
      </x:c>
      <x:c r="C28" s="5">
        <x:f>COUNTIFS('Test Cases'!B:B,"Check-In from Booking",'Test Cases'!G:G,"Pass")</x:f>
      </x:c>
      <x:c r="D28" s="5">
        <x:f>COUNTIFS('Test Cases'!B:B,"Check-In from Booking",'Test Cases'!G:G,"Fail")</x:f>
      </x:c>
      <x:c r="E28" s="5">
        <x:f>COUNTIFS('Test Cases'!B:B,"Check-In from Booking",'Test Cases'!G:G,"Blocked")</x:f>
      </x:c>
      <x:c r="F28" s="5">
        <x:f>COUNTIFS('Test Cases'!B:B,"Check-In from Booking",'Test Cases'!G:G,"Not Tested")</x:f>
      </x:c>
      <x:c r="G28" s="6">
        <x:f>IF(B28=0,0,(COUNTIFS('Test Cases'!B:B,"Check-In from Booking",'Test Cases'!G:G,"&lt;&gt;Not Tested")/B28))</x:f>
      </x:c>
    </x:row>
    <x:row r="29" spans="1:7">
      <x:c r="A29" s="7" t="s">
        <x:v>35</x:v>
      </x:c>
      <x:c r="B29" s="7">
        <x:v>3</x:v>
      </x:c>
      <x:c r="C29" s="7">
        <x:f>COUNTIFS('Test Cases'!B:B,"Active Rentals",'Test Cases'!G:G,"Pass")</x:f>
      </x:c>
      <x:c r="D29" s="7">
        <x:f>COUNTIFS('Test Cases'!B:B,"Active Rentals",'Test Cases'!G:G,"Fail")</x:f>
      </x:c>
      <x:c r="E29" s="7">
        <x:f>COUNTIFS('Test Cases'!B:B,"Active Rentals",'Test Cases'!G:G,"Blocked")</x:f>
      </x:c>
      <x:c r="F29" s="7">
        <x:f>COUNTIFS('Test Cases'!B:B,"Active Rentals",'Test Cases'!G:G,"Not Tested")</x:f>
      </x:c>
      <x:c r="G29" s="8">
        <x:f>IF(B29=0,0,(COUNTIFS('Test Cases'!B:B,"Active Rentals",'Test Cases'!G:G,"&lt;&gt;Not Tested")/B29))</x:f>
      </x:c>
    </x:row>
    <x:row r="30" spans="1:7">
      <x:c r="A30" s="5" t="s">
        <x:v>36</x:v>
      </x:c>
      <x:c r="B30" s="5">
        <x:v>4</x:v>
      </x:c>
      <x:c r="C30" s="5">
        <x:f>COUNTIFS('Test Cases'!B:B,"Duration Type Auto-Selection",'Test Cases'!G:G,"Pass")</x:f>
      </x:c>
      <x:c r="D30" s="5">
        <x:f>COUNTIFS('Test Cases'!B:B,"Duration Type Auto-Selection",'Test Cases'!G:G,"Fail")</x:f>
      </x:c>
      <x:c r="E30" s="5">
        <x:f>COUNTIFS('Test Cases'!B:B,"Duration Type Auto-Selection",'Test Cases'!G:G,"Blocked")</x:f>
      </x:c>
      <x:c r="F30" s="5">
        <x:f>COUNTIFS('Test Cases'!B:B,"Duration Type Auto-Selection",'Test Cases'!G:G,"Not Tested")</x:f>
      </x:c>
      <x:c r="G30" s="6">
        <x:f>IF(B30=0,0,(COUNTIFS('Test Cases'!B:B,"Duration Type Auto-Selection",'Test Cases'!G:G,"&lt;&gt;Not Tested")/B30))</x:f>
      </x:c>
    </x:row>
    <x:row r="31" spans="1:7">
      <x:c r="A31" s="7" t="s">
        <x:v>37</x:v>
      </x:c>
      <x:c r="B31" s="7">
        <x:v>6</x:v>
      </x:c>
      <x:c r="C31" s="7">
        <x:f>COUNTIFS('Test Cases'!B:B,"Edge Cases &amp; Error Scenarios",'Test Cases'!G:G,"Pass")</x:f>
      </x:c>
      <x:c r="D31" s="7">
        <x:f>COUNTIFS('Test Cases'!B:B,"Edge Cases &amp; Error Scenarios",'Test Cases'!G:G,"Fail")</x:f>
      </x:c>
      <x:c r="E31" s="7">
        <x:f>COUNTIFS('Test Cases'!B:B,"Edge Cases &amp; Error Scenarios",'Test Cases'!G:G,"Blocked")</x:f>
      </x:c>
      <x:c r="F31" s="7">
        <x:f>COUNTIFS('Test Cases'!B:B,"Edge Cases &amp; Error Scenarios",'Test Cases'!G:G,"Not Tested")</x:f>
      </x:c>
      <x:c r="G31" s="8">
        <x:f>IF(B31=0,0,(COUNTIFS('Test Cases'!B:B,"Edge Cases &amp; Error Scenarios",'Test Cases'!G:G,"&lt;&gt;Not Tested")/B31))</x:f>
      </x:c>
    </x:row>
    <x:row r="32" spans="1:7">
      <x:c r="A32" s="9" t="s">
        <x:v>38</x:v>
      </x:c>
      <x:c r="B32" s="9">
        <x:f>SUM(B20:B31)</x:f>
      </x:c>
      <x:c r="C32" s="9">
        <x:f>SUM(C20:C31)</x:f>
      </x:c>
      <x:c r="D32" s="9">
        <x:f>SUM(D20:D31)</x:f>
      </x:c>
      <x:c r="E32" s="9">
        <x:f>SUM(E20:E31)</x:f>
      </x:c>
      <x:c r="F32" s="9">
        <x:f>SUM(F20:F31)</x:f>
      </x:c>
      <x:c r="G32" s="10">
        <x:f>IF(B32=0,0,(B32-F32)/B32)</x:f>
      </x:c>
    </x:row>
  </x:sheetData>
  <x:mergeCells count="13">
    <x:mergeCell ref="A1:G1"/>
    <x:mergeCell ref="B3:G3"/>
    <x:mergeCell ref="B4:G4"/>
    <x:mergeCell ref="B5:G5"/>
    <x:mergeCell ref="B8:G8"/>
    <x:mergeCell ref="B9:G9"/>
    <x:mergeCell ref="B10:G10"/>
    <x:mergeCell ref="B11:G11"/>
    <x:mergeCell ref="B12:G12"/>
    <x:mergeCell ref="B13:G13"/>
    <x:mergeCell ref="B14:G14"/>
    <x:mergeCell ref="B15:G15"/>
    <x:mergeCell ref="B16:G16"/>
  </x:mergeCells>
  <x:conditionalFormatting sqref="G20:G32">
    <x:cfRule type="cellIs" dxfId="0" priority="1" operator="greaterThanOrEqual">
      <x:formula>0.8</x:formula>
    </x:cfRule>
    <x:cfRule type="cellIs" dxfId="1" priority="2" operator="between">
      <x:formula>0.5</x:formula>
      <x:formula>0.79</x:formula>
    </x:cfRule>
    <x:cfRule type="cellIs" dxfId="2" priority="3" operator="lessThan">
      <x:formula>0.5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2" width="30.710625" style="0" customWidth="1"/>
    <x:col min="3" max="4" width="40.710625" style="0" customWidth="1"/>
    <x:col min="5" max="6" width="60.710625" style="0" customWidth="1"/>
    <x:col min="7" max="7" width="14.710625" style="0" customWidth="1"/>
    <x:col min="8" max="8" width="15.710625" style="0" customWidth="1"/>
    <x:col min="9" max="9" width="12.710625" style="0" customWidth="1"/>
    <x:col min="10" max="10" width="40.710625" style="0" customWidth="1"/>
    <x:col min="11" max="11" width="10.710625" style="0" customWidth="1"/>
  </x:cols>
  <x:sheetData>
    <x:row r="1" spans="1:11">
      <x:c r="A1" s="11" t="s">
        <x:v>39</x:v>
      </x:c>
      <x:c r="B1" s="11" t="s">
        <x:v>19</x:v>
      </x:c>
      <x:c r="C1" s="11" t="s">
        <x:v>40</x:v>
      </x:c>
      <x:c r="D1" s="11" t="s">
        <x:v>41</x:v>
      </x:c>
      <x:c r="E1" s="11" t="s">
        <x:v>42</x:v>
      </x:c>
      <x:c r="F1" s="11" t="s">
        <x:v>43</x:v>
      </x:c>
      <x:c r="G1" s="11" t="s">
        <x:v>44</x:v>
      </x:c>
      <x:c r="H1" s="11" t="s">
        <x:v>45</x:v>
      </x:c>
      <x:c r="I1" s="11" t="s">
        <x:v>46</x:v>
      </x:c>
      <x:c r="J1" s="11" t="s">
        <x:v>47</x:v>
      </x:c>
      <x:c r="K1" s="11" t="s">
        <x:v>48</x:v>
      </x:c>
    </x:row>
    <x:row r="2" spans="1:11">
      <x:c r="A2" s="12" t="s">
        <x:v>49</x:v>
      </x:c>
      <x:c r="B2" s="12" t="s">
        <x:v>26</x:v>
      </x:c>
      <x:c r="C2" s="12" t="s">
        <x:v>50</x:v>
      </x:c>
      <x:c r="D2" s="13" t="s">
        <x:v>51</x:v>
      </x:c>
      <x:c r="E2" s="13" t="s">
        <x:v>52</x:v>
      </x:c>
      <x:c r="F2" s="13" t="s">
        <x:v>53</x:v>
      </x:c>
      <x:c r="G2" s="12" t="s">
        <x:v>24</x:v>
      </x:c>
      <x:c r="H2" s="12" t="s">
        <x:v>51</x:v>
      </x:c>
      <x:c r="I2" s="14" t="s">
        <x:v>51</x:v>
      </x:c>
      <x:c r="J2" s="12" t="s">
        <x:v>51</x:v>
      </x:c>
      <x:c r="K2" s="12" t="s">
        <x:v>54</x:v>
      </x:c>
    </x:row>
    <x:row r="3" spans="1:11">
      <x:c r="A3" s="15" t="s">
        <x:v>55</x:v>
      </x:c>
      <x:c r="B3" s="15" t="s">
        <x:v>26</x:v>
      </x:c>
      <x:c r="C3" s="15" t="s">
        <x:v>56</x:v>
      </x:c>
      <x:c r="D3" s="16" t="s">
        <x:v>51</x:v>
      </x:c>
      <x:c r="E3" s="16" t="s">
        <x:v>57</x:v>
      </x:c>
      <x:c r="F3" s="16" t="s">
        <x:v>58</x:v>
      </x:c>
      <x:c r="G3" s="15" t="s">
        <x:v>24</x:v>
      </x:c>
      <x:c r="H3" s="15" t="s">
        <x:v>51</x:v>
      </x:c>
      <x:c r="I3" s="17" t="s">
        <x:v>51</x:v>
      </x:c>
      <x:c r="J3" s="15" t="s">
        <x:v>51</x:v>
      </x:c>
      <x:c r="K3" s="15" t="s">
        <x:v>54</x:v>
      </x:c>
    </x:row>
    <x:row r="4" spans="1:11">
      <x:c r="A4" s="12" t="s">
        <x:v>59</x:v>
      </x:c>
      <x:c r="B4" s="12" t="s">
        <x:v>26</x:v>
      </x:c>
      <x:c r="C4" s="12" t="s">
        <x:v>60</x:v>
      </x:c>
      <x:c r="D4" s="13" t="s">
        <x:v>51</x:v>
      </x:c>
      <x:c r="E4" s="13" t="s">
        <x:v>61</x:v>
      </x:c>
      <x:c r="F4" s="13" t="s">
        <x:v>62</x:v>
      </x:c>
      <x:c r="G4" s="12" t="s">
        <x:v>24</x:v>
      </x:c>
      <x:c r="H4" s="12" t="s">
        <x:v>51</x:v>
      </x:c>
      <x:c r="I4" s="14" t="s">
        <x:v>51</x:v>
      </x:c>
      <x:c r="J4" s="12" t="s">
        <x:v>51</x:v>
      </x:c>
      <x:c r="K4" s="12" t="s">
        <x:v>54</x:v>
      </x:c>
    </x:row>
    <x:row r="5" spans="1:11">
      <x:c r="A5" s="15" t="s">
        <x:v>63</x:v>
      </x:c>
      <x:c r="B5" s="15" t="s">
        <x:v>26</x:v>
      </x:c>
      <x:c r="C5" s="15" t="s">
        <x:v>64</x:v>
      </x:c>
      <x:c r="D5" s="16" t="s">
        <x:v>51</x:v>
      </x:c>
      <x:c r="E5" s="16" t="s">
        <x:v>65</x:v>
      </x:c>
      <x:c r="F5" s="16" t="s">
        <x:v>66</x:v>
      </x:c>
      <x:c r="G5" s="15" t="s">
        <x:v>24</x:v>
      </x:c>
      <x:c r="H5" s="15" t="s">
        <x:v>51</x:v>
      </x:c>
      <x:c r="I5" s="17" t="s">
        <x:v>51</x:v>
      </x:c>
      <x:c r="J5" s="15" t="s">
        <x:v>51</x:v>
      </x:c>
      <x:c r="K5" s="15" t="s">
        <x:v>54</x:v>
      </x:c>
    </x:row>
    <x:row r="6" spans="1:11">
      <x:c r="A6" s="12" t="s">
        <x:v>67</x:v>
      </x:c>
      <x:c r="B6" s="12" t="s">
        <x:v>26</x:v>
      </x:c>
      <x:c r="C6" s="12" t="s">
        <x:v>68</x:v>
      </x:c>
      <x:c r="D6" s="13" t="s">
        <x:v>51</x:v>
      </x:c>
      <x:c r="E6" s="13" t="s">
        <x:v>69</x:v>
      </x:c>
      <x:c r="F6" s="13" t="s">
        <x:v>70</x:v>
      </x:c>
      <x:c r="G6" s="12" t="s">
        <x:v>24</x:v>
      </x:c>
      <x:c r="H6" s="12" t="s">
        <x:v>51</x:v>
      </x:c>
      <x:c r="I6" s="14" t="s">
        <x:v>51</x:v>
      </x:c>
      <x:c r="J6" s="12" t="s">
        <x:v>51</x:v>
      </x:c>
      <x:c r="K6" s="12" t="s">
        <x:v>54</x:v>
      </x:c>
    </x:row>
    <x:row r="7" spans="1:11">
      <x:c r="A7" s="15" t="s">
        <x:v>71</x:v>
      </x:c>
      <x:c r="B7" s="15" t="s">
        <x:v>26</x:v>
      </x:c>
      <x:c r="C7" s="15" t="s">
        <x:v>72</x:v>
      </x:c>
      <x:c r="D7" s="16" t="s">
        <x:v>51</x:v>
      </x:c>
      <x:c r="E7" s="16" t="s">
        <x:v>73</x:v>
      </x:c>
      <x:c r="F7" s="16" t="s">
        <x:v>74</x:v>
      </x:c>
      <x:c r="G7" s="15" t="s">
        <x:v>24</x:v>
      </x:c>
      <x:c r="H7" s="15" t="s">
        <x:v>51</x:v>
      </x:c>
      <x:c r="I7" s="17" t="s">
        <x:v>51</x:v>
      </x:c>
      <x:c r="J7" s="15" t="s">
        <x:v>51</x:v>
      </x:c>
      <x:c r="K7" s="15" t="s">
        <x:v>54</x:v>
      </x:c>
    </x:row>
    <x:row r="8" spans="1:11">
      <x:c r="A8" s="12" t="s">
        <x:v>75</x:v>
      </x:c>
      <x:c r="B8" s="12" t="s">
        <x:v>26</x:v>
      </x:c>
      <x:c r="C8" s="12" t="s">
        <x:v>76</x:v>
      </x:c>
      <x:c r="D8" s="13" t="s">
        <x:v>51</x:v>
      </x:c>
      <x:c r="E8" s="13" t="s">
        <x:v>77</x:v>
      </x:c>
      <x:c r="F8" s="13" t="s">
        <x:v>78</x:v>
      </x:c>
      <x:c r="G8" s="12" t="s">
        <x:v>24</x:v>
      </x:c>
      <x:c r="H8" s="12" t="s">
        <x:v>51</x:v>
      </x:c>
      <x:c r="I8" s="14" t="s">
        <x:v>51</x:v>
      </x:c>
      <x:c r="J8" s="12" t="s">
        <x:v>51</x:v>
      </x:c>
      <x:c r="K8" s="12" t="s">
        <x:v>54</x:v>
      </x:c>
    </x:row>
    <x:row r="9" spans="1:11">
      <x:c r="A9" s="15" t="s">
        <x:v>79</x:v>
      </x:c>
      <x:c r="B9" s="15" t="s">
        <x:v>26</x:v>
      </x:c>
      <x:c r="C9" s="15" t="s">
        <x:v>80</x:v>
      </x:c>
      <x:c r="D9" s="16" t="s">
        <x:v>51</x:v>
      </x:c>
      <x:c r="E9" s="16" t="s">
        <x:v>81</x:v>
      </x:c>
      <x:c r="F9" s="16" t="s">
        <x:v>82</x:v>
      </x:c>
      <x:c r="G9" s="15" t="s">
        <x:v>24</x:v>
      </x:c>
      <x:c r="H9" s="15" t="s">
        <x:v>51</x:v>
      </x:c>
      <x:c r="I9" s="17" t="s">
        <x:v>51</x:v>
      </x:c>
      <x:c r="J9" s="15" t="s">
        <x:v>51</x:v>
      </x:c>
      <x:c r="K9" s="15" t="s">
        <x:v>54</x:v>
      </x:c>
    </x:row>
    <x:row r="10" spans="1:11">
      <x:c r="A10" s="12" t="s">
        <x:v>83</x:v>
      </x:c>
      <x:c r="B10" s="12" t="s">
        <x:v>27</x:v>
      </x:c>
      <x:c r="C10" s="12" t="s">
        <x:v>84</x:v>
      </x:c>
      <x:c r="D10" s="13" t="s">
        <x:v>51</x:v>
      </x:c>
      <x:c r="E10" s="13" t="s">
        <x:v>85</x:v>
      </x:c>
      <x:c r="F10" s="13" t="s">
        <x:v>86</x:v>
      </x:c>
      <x:c r="G10" s="12" t="s">
        <x:v>24</x:v>
      </x:c>
      <x:c r="H10" s="12" t="s">
        <x:v>51</x:v>
      </x:c>
      <x:c r="I10" s="14" t="s">
        <x:v>51</x:v>
      </x:c>
      <x:c r="J10" s="12" t="s">
        <x:v>51</x:v>
      </x:c>
      <x:c r="K10" s="12" t="s">
        <x:v>54</x:v>
      </x:c>
    </x:row>
    <x:row r="11" spans="1:11">
      <x:c r="A11" s="15" t="s">
        <x:v>87</x:v>
      </x:c>
      <x:c r="B11" s="15" t="s">
        <x:v>27</x:v>
      </x:c>
      <x:c r="C11" s="15" t="s">
        <x:v>88</x:v>
      </x:c>
      <x:c r="D11" s="16" t="s">
        <x:v>51</x:v>
      </x:c>
      <x:c r="E11" s="16" t="s">
        <x:v>89</x:v>
      </x:c>
      <x:c r="F11" s="16" t="s">
        <x:v>90</x:v>
      </x:c>
      <x:c r="G11" s="15" t="s">
        <x:v>24</x:v>
      </x:c>
      <x:c r="H11" s="15" t="s">
        <x:v>51</x:v>
      </x:c>
      <x:c r="I11" s="17" t="s">
        <x:v>51</x:v>
      </x:c>
      <x:c r="J11" s="15" t="s">
        <x:v>51</x:v>
      </x:c>
      <x:c r="K11" s="15" t="s">
        <x:v>54</x:v>
      </x:c>
    </x:row>
    <x:row r="12" spans="1:11">
      <x:c r="A12" s="12" t="s">
        <x:v>91</x:v>
      </x:c>
      <x:c r="B12" s="12" t="s">
        <x:v>27</x:v>
      </x:c>
      <x:c r="C12" s="12" t="s">
        <x:v>92</x:v>
      </x:c>
      <x:c r="D12" s="13" t="s">
        <x:v>51</x:v>
      </x:c>
      <x:c r="E12" s="13" t="s">
        <x:v>93</x:v>
      </x:c>
      <x:c r="F12" s="13" t="s">
        <x:v>94</x:v>
      </x:c>
      <x:c r="G12" s="12" t="s">
        <x:v>24</x:v>
      </x:c>
      <x:c r="H12" s="12" t="s">
        <x:v>51</x:v>
      </x:c>
      <x:c r="I12" s="14" t="s">
        <x:v>51</x:v>
      </x:c>
      <x:c r="J12" s="12" t="s">
        <x:v>51</x:v>
      </x:c>
      <x:c r="K12" s="12" t="s">
        <x:v>54</x:v>
      </x:c>
    </x:row>
    <x:row r="13" spans="1:11">
      <x:c r="A13" s="15" t="s">
        <x:v>95</x:v>
      </x:c>
      <x:c r="B13" s="15" t="s">
        <x:v>27</x:v>
      </x:c>
      <x:c r="C13" s="15" t="s">
        <x:v>96</x:v>
      </x:c>
      <x:c r="D13" s="16" t="s">
        <x:v>51</x:v>
      </x:c>
      <x:c r="E13" s="16" t="s">
        <x:v>97</x:v>
      </x:c>
      <x:c r="F13" s="16" t="s">
        <x:v>98</x:v>
      </x:c>
      <x:c r="G13" s="15" t="s">
        <x:v>24</x:v>
      </x:c>
      <x:c r="H13" s="15" t="s">
        <x:v>51</x:v>
      </x:c>
      <x:c r="I13" s="17" t="s">
        <x:v>51</x:v>
      </x:c>
      <x:c r="J13" s="15" t="s">
        <x:v>51</x:v>
      </x:c>
      <x:c r="K13" s="15" t="s">
        <x:v>54</x:v>
      </x:c>
    </x:row>
    <x:row r="14" spans="1:11">
      <x:c r="A14" s="12" t="s">
        <x:v>99</x:v>
      </x:c>
      <x:c r="B14" s="12" t="s">
        <x:v>27</x:v>
      </x:c>
      <x:c r="C14" s="12" t="s">
        <x:v>100</x:v>
      </x:c>
      <x:c r="D14" s="13" t="s">
        <x:v>51</x:v>
      </x:c>
      <x:c r="E14" s="13" t="s">
        <x:v>101</x:v>
      </x:c>
      <x:c r="F14" s="13" t="s">
        <x:v>102</x:v>
      </x:c>
      <x:c r="G14" s="12" t="s">
        <x:v>24</x:v>
      </x:c>
      <x:c r="H14" s="12" t="s">
        <x:v>51</x:v>
      </x:c>
      <x:c r="I14" s="14" t="s">
        <x:v>51</x:v>
      </x:c>
      <x:c r="J14" s="12" t="s">
        <x:v>51</x:v>
      </x:c>
      <x:c r="K14" s="12" t="s">
        <x:v>54</x:v>
      </x:c>
    </x:row>
    <x:row r="15" spans="1:11">
      <x:c r="A15" s="15" t="s">
        <x:v>103</x:v>
      </x:c>
      <x:c r="B15" s="15" t="s">
        <x:v>27</x:v>
      </x:c>
      <x:c r="C15" s="15" t="s">
        <x:v>104</x:v>
      </x:c>
      <x:c r="D15" s="16" t="s">
        <x:v>105</x:v>
      </x:c>
      <x:c r="E15" s="16" t="s">
        <x:v>106</x:v>
      </x:c>
      <x:c r="F15" s="16" t="s">
        <x:v>107</x:v>
      </x:c>
      <x:c r="G15" s="15" t="s">
        <x:v>24</x:v>
      </x:c>
      <x:c r="H15" s="15" t="s">
        <x:v>51</x:v>
      </x:c>
      <x:c r="I15" s="17" t="s">
        <x:v>51</x:v>
      </x:c>
      <x:c r="J15" s="15" t="s">
        <x:v>51</x:v>
      </x:c>
      <x:c r="K15" s="15" t="s">
        <x:v>54</x:v>
      </x:c>
    </x:row>
    <x:row r="16" spans="1:11">
      <x:c r="A16" s="12" t="s">
        <x:v>108</x:v>
      </x:c>
      <x:c r="B16" s="12" t="s">
        <x:v>28</x:v>
      </x:c>
      <x:c r="C16" s="12" t="s">
        <x:v>109</x:v>
      </x:c>
      <x:c r="D16" s="13" t="s">
        <x:v>51</x:v>
      </x:c>
      <x:c r="E16" s="13" t="s">
        <x:v>110</x:v>
      </x:c>
      <x:c r="F16" s="13" t="s">
        <x:v>111</x:v>
      </x:c>
      <x:c r="G16" s="12" t="s">
        <x:v>24</x:v>
      </x:c>
      <x:c r="H16" s="12" t="s">
        <x:v>51</x:v>
      </x:c>
      <x:c r="I16" s="14" t="s">
        <x:v>51</x:v>
      </x:c>
      <x:c r="J16" s="12" t="s">
        <x:v>51</x:v>
      </x:c>
      <x:c r="K16" s="12" t="s">
        <x:v>54</x:v>
      </x:c>
    </x:row>
    <x:row r="17" spans="1:11">
      <x:c r="A17" s="15" t="s">
        <x:v>112</x:v>
      </x:c>
      <x:c r="B17" s="15" t="s">
        <x:v>28</x:v>
      </x:c>
      <x:c r="C17" s="15" t="s">
        <x:v>113</x:v>
      </x:c>
      <x:c r="D17" s="16" t="s">
        <x:v>51</x:v>
      </x:c>
      <x:c r="E17" s="16" t="s">
        <x:v>114</x:v>
      </x:c>
      <x:c r="F17" s="16" t="s">
        <x:v>115</x:v>
      </x:c>
      <x:c r="G17" s="15" t="s">
        <x:v>24</x:v>
      </x:c>
      <x:c r="H17" s="15" t="s">
        <x:v>51</x:v>
      </x:c>
      <x:c r="I17" s="17" t="s">
        <x:v>51</x:v>
      </x:c>
      <x:c r="J17" s="15" t="s">
        <x:v>51</x:v>
      </x:c>
      <x:c r="K17" s="15" t="s">
        <x:v>54</x:v>
      </x:c>
    </x:row>
    <x:row r="18" spans="1:11">
      <x:c r="A18" s="12" t="s">
        <x:v>116</x:v>
      </x:c>
      <x:c r="B18" s="12" t="s">
        <x:v>28</x:v>
      </x:c>
      <x:c r="C18" s="12" t="s">
        <x:v>117</x:v>
      </x:c>
      <x:c r="D18" s="13" t="s">
        <x:v>51</x:v>
      </x:c>
      <x:c r="E18" s="13" t="s">
        <x:v>118</x:v>
      </x:c>
      <x:c r="F18" s="13" t="s">
        <x:v>119</x:v>
      </x:c>
      <x:c r="G18" s="12" t="s">
        <x:v>24</x:v>
      </x:c>
      <x:c r="H18" s="12" t="s">
        <x:v>51</x:v>
      </x:c>
      <x:c r="I18" s="14" t="s">
        <x:v>51</x:v>
      </x:c>
      <x:c r="J18" s="12" t="s">
        <x:v>51</x:v>
      </x:c>
      <x:c r="K18" s="12" t="s">
        <x:v>54</x:v>
      </x:c>
    </x:row>
    <x:row r="19" spans="1:11">
      <x:c r="A19" s="15" t="s">
        <x:v>120</x:v>
      </x:c>
      <x:c r="B19" s="15" t="s">
        <x:v>28</x:v>
      </x:c>
      <x:c r="C19" s="15" t="s">
        <x:v>121</x:v>
      </x:c>
      <x:c r="D19" s="16" t="s">
        <x:v>51</x:v>
      </x:c>
      <x:c r="E19" s="16" t="s">
        <x:v>122</x:v>
      </x:c>
      <x:c r="F19" s="16" t="s">
        <x:v>123</x:v>
      </x:c>
      <x:c r="G19" s="15" t="s">
        <x:v>24</x:v>
      </x:c>
      <x:c r="H19" s="15" t="s">
        <x:v>51</x:v>
      </x:c>
      <x:c r="I19" s="17" t="s">
        <x:v>51</x:v>
      </x:c>
      <x:c r="J19" s="15" t="s">
        <x:v>51</x:v>
      </x:c>
      <x:c r="K19" s="15" t="s">
        <x:v>54</x:v>
      </x:c>
    </x:row>
    <x:row r="20" spans="1:11">
      <x:c r="A20" s="12" t="s">
        <x:v>124</x:v>
      </x:c>
      <x:c r="B20" s="12" t="s">
        <x:v>28</x:v>
      </x:c>
      <x:c r="C20" s="12" t="s">
        <x:v>125</x:v>
      </x:c>
      <x:c r="D20" s="13" t="s">
        <x:v>126</x:v>
      </x:c>
      <x:c r="E20" s="13" t="s">
        <x:v>127</x:v>
      </x:c>
      <x:c r="F20" s="13" t="s">
        <x:v>128</x:v>
      </x:c>
      <x:c r="G20" s="12" t="s">
        <x:v>24</x:v>
      </x:c>
      <x:c r="H20" s="12" t="s">
        <x:v>51</x:v>
      </x:c>
      <x:c r="I20" s="14" t="s">
        <x:v>51</x:v>
      </x:c>
      <x:c r="J20" s="12" t="s">
        <x:v>51</x:v>
      </x:c>
      <x:c r="K20" s="12" t="s">
        <x:v>54</x:v>
      </x:c>
    </x:row>
    <x:row r="21" spans="1:11">
      <x:c r="A21" s="15" t="s">
        <x:v>129</x:v>
      </x:c>
      <x:c r="B21" s="15" t="s">
        <x:v>28</x:v>
      </x:c>
      <x:c r="C21" s="15" t="s">
        <x:v>130</x:v>
      </x:c>
      <x:c r="D21" s="16" t="s">
        <x:v>51</x:v>
      </x:c>
      <x:c r="E21" s="16" t="s">
        <x:v>131</x:v>
      </x:c>
      <x:c r="F21" s="16" t="s">
        <x:v>132</x:v>
      </x:c>
      <x:c r="G21" s="15" t="s">
        <x:v>24</x:v>
      </x:c>
      <x:c r="H21" s="15" t="s">
        <x:v>51</x:v>
      </x:c>
      <x:c r="I21" s="17" t="s">
        <x:v>51</x:v>
      </x:c>
      <x:c r="J21" s="15" t="s">
        <x:v>51</x:v>
      </x:c>
      <x:c r="K21" s="15" t="s">
        <x:v>54</x:v>
      </x:c>
    </x:row>
    <x:row r="22" spans="1:11">
      <x:c r="A22" s="12" t="s">
        <x:v>133</x:v>
      </x:c>
      <x:c r="B22" s="12" t="s">
        <x:v>28</x:v>
      </x:c>
      <x:c r="C22" s="12" t="s">
        <x:v>134</x:v>
      </x:c>
      <x:c r="D22" s="13" t="s">
        <x:v>135</x:v>
      </x:c>
      <x:c r="E22" s="13" t="s">
        <x:v>136</x:v>
      </x:c>
      <x:c r="F22" s="13" t="s">
        <x:v>137</x:v>
      </x:c>
      <x:c r="G22" s="12" t="s">
        <x:v>24</x:v>
      </x:c>
      <x:c r="H22" s="12" t="s">
        <x:v>51</x:v>
      </x:c>
      <x:c r="I22" s="14" t="s">
        <x:v>51</x:v>
      </x:c>
      <x:c r="J22" s="12" t="s">
        <x:v>51</x:v>
      </x:c>
      <x:c r="K22" s="12" t="s">
        <x:v>54</x:v>
      </x:c>
    </x:row>
    <x:row r="23" spans="1:11">
      <x:c r="A23" s="15" t="s">
        <x:v>138</x:v>
      </x:c>
      <x:c r="B23" s="15" t="s">
        <x:v>28</x:v>
      </x:c>
      <x:c r="C23" s="15" t="s">
        <x:v>139</x:v>
      </x:c>
      <x:c r="D23" s="16" t="s">
        <x:v>51</x:v>
      </x:c>
      <x:c r="E23" s="16" t="s">
        <x:v>140</x:v>
      </x:c>
      <x:c r="F23" s="16" t="s">
        <x:v>141</x:v>
      </x:c>
      <x:c r="G23" s="15" t="s">
        <x:v>24</x:v>
      </x:c>
      <x:c r="H23" s="15" t="s">
        <x:v>51</x:v>
      </x:c>
      <x:c r="I23" s="17" t="s">
        <x:v>51</x:v>
      </x:c>
      <x:c r="J23" s="15" t="s">
        <x:v>51</x:v>
      </x:c>
      <x:c r="K23" s="15" t="s">
        <x:v>54</x:v>
      </x:c>
    </x:row>
    <x:row r="24" spans="1:11">
      <x:c r="A24" s="12" t="s">
        <x:v>142</x:v>
      </x:c>
      <x:c r="B24" s="12" t="s">
        <x:v>29</x:v>
      </x:c>
      <x:c r="C24" s="12" t="s">
        <x:v>143</x:v>
      </x:c>
      <x:c r="D24" s="13" t="s">
        <x:v>144</x:v>
      </x:c>
      <x:c r="E24" s="13" t="s">
        <x:v>145</x:v>
      </x:c>
      <x:c r="F24" s="13" t="s">
        <x:v>146</x:v>
      </x:c>
      <x:c r="G24" s="12" t="s">
        <x:v>24</x:v>
      </x:c>
      <x:c r="H24" s="12" t="s">
        <x:v>51</x:v>
      </x:c>
      <x:c r="I24" s="14" t="s">
        <x:v>51</x:v>
      </x:c>
      <x:c r="J24" s="12" t="s">
        <x:v>51</x:v>
      </x:c>
      <x:c r="K24" s="12" t="s">
        <x:v>54</x:v>
      </x:c>
    </x:row>
    <x:row r="25" spans="1:11">
      <x:c r="A25" s="15" t="s">
        <x:v>147</x:v>
      </x:c>
      <x:c r="B25" s="15" t="s">
        <x:v>29</x:v>
      </x:c>
      <x:c r="C25" s="15" t="s">
        <x:v>148</x:v>
      </x:c>
      <x:c r="D25" s="16" t="s">
        <x:v>149</x:v>
      </x:c>
      <x:c r="E25" s="16" t="s">
        <x:v>150</x:v>
      </x:c>
      <x:c r="F25" s="16" t="s">
        <x:v>151</x:v>
      </x:c>
      <x:c r="G25" s="15" t="s">
        <x:v>24</x:v>
      </x:c>
      <x:c r="H25" s="15" t="s">
        <x:v>51</x:v>
      </x:c>
      <x:c r="I25" s="17" t="s">
        <x:v>51</x:v>
      </x:c>
      <x:c r="J25" s="15" t="s">
        <x:v>51</x:v>
      </x:c>
      <x:c r="K25" s="15" t="s">
        <x:v>54</x:v>
      </x:c>
    </x:row>
    <x:row r="26" spans="1:11">
      <x:c r="A26" s="12" t="s">
        <x:v>152</x:v>
      </x:c>
      <x:c r="B26" s="12" t="s">
        <x:v>29</x:v>
      </x:c>
      <x:c r="C26" s="12" t="s">
        <x:v>153</x:v>
      </x:c>
      <x:c r="D26" s="13" t="s">
        <x:v>51</x:v>
      </x:c>
      <x:c r="E26" s="13" t="s">
        <x:v>154</x:v>
      </x:c>
      <x:c r="F26" s="13" t="s">
        <x:v>155</x:v>
      </x:c>
      <x:c r="G26" s="12" t="s">
        <x:v>24</x:v>
      </x:c>
      <x:c r="H26" s="12" t="s">
        <x:v>51</x:v>
      </x:c>
      <x:c r="I26" s="14" t="s">
        <x:v>51</x:v>
      </x:c>
      <x:c r="J26" s="12" t="s">
        <x:v>51</x:v>
      </x:c>
      <x:c r="K26" s="12" t="s">
        <x:v>54</x:v>
      </x:c>
    </x:row>
    <x:row r="27" spans="1:11">
      <x:c r="A27" s="15" t="s">
        <x:v>156</x:v>
      </x:c>
      <x:c r="B27" s="15" t="s">
        <x:v>29</x:v>
      </x:c>
      <x:c r="C27" s="15" t="s">
        <x:v>157</x:v>
      </x:c>
      <x:c r="D27" s="16" t="s">
        <x:v>51</x:v>
      </x:c>
      <x:c r="E27" s="16" t="s">
        <x:v>158</x:v>
      </x:c>
      <x:c r="F27" s="16" t="s">
        <x:v>159</x:v>
      </x:c>
      <x:c r="G27" s="15" t="s">
        <x:v>24</x:v>
      </x:c>
      <x:c r="H27" s="15" t="s">
        <x:v>51</x:v>
      </x:c>
      <x:c r="I27" s="17" t="s">
        <x:v>51</x:v>
      </x:c>
      <x:c r="J27" s="15" t="s">
        <x:v>51</x:v>
      </x:c>
      <x:c r="K27" s="15" t="s">
        <x:v>54</x:v>
      </x:c>
    </x:row>
    <x:row r="28" spans="1:11">
      <x:c r="A28" s="12" t="s">
        <x:v>160</x:v>
      </x:c>
      <x:c r="B28" s="12" t="s">
        <x:v>30</x:v>
      </x:c>
      <x:c r="C28" s="12" t="s">
        <x:v>161</x:v>
      </x:c>
      <x:c r="D28" s="13" t="s">
        <x:v>162</x:v>
      </x:c>
      <x:c r="E28" s="13" t="s">
        <x:v>163</x:v>
      </x:c>
      <x:c r="F28" s="13" t="s">
        <x:v>164</x:v>
      </x:c>
      <x:c r="G28" s="12" t="s">
        <x:v>24</x:v>
      </x:c>
      <x:c r="H28" s="12" t="s">
        <x:v>51</x:v>
      </x:c>
      <x:c r="I28" s="14" t="s">
        <x:v>51</x:v>
      </x:c>
      <x:c r="J28" s="12" t="s">
        <x:v>51</x:v>
      </x:c>
      <x:c r="K28" s="12" t="s">
        <x:v>54</x:v>
      </x:c>
    </x:row>
    <x:row r="29" spans="1:11">
      <x:c r="A29" s="15" t="s">
        <x:v>165</x:v>
      </x:c>
      <x:c r="B29" s="15" t="s">
        <x:v>30</x:v>
      </x:c>
      <x:c r="C29" s="15" t="s">
        <x:v>166</x:v>
      </x:c>
      <x:c r="D29" s="16" t="s">
        <x:v>51</x:v>
      </x:c>
      <x:c r="E29" s="16" t="s">
        <x:v>167</x:v>
      </x:c>
      <x:c r="F29" s="16" t="s">
        <x:v>168</x:v>
      </x:c>
      <x:c r="G29" s="15" t="s">
        <x:v>24</x:v>
      </x:c>
      <x:c r="H29" s="15" t="s">
        <x:v>51</x:v>
      </x:c>
      <x:c r="I29" s="17" t="s">
        <x:v>51</x:v>
      </x:c>
      <x:c r="J29" s="15" t="s">
        <x:v>51</x:v>
      </x:c>
      <x:c r="K29" s="15" t="s">
        <x:v>54</x:v>
      </x:c>
    </x:row>
    <x:row r="30" spans="1:11">
      <x:c r="A30" s="12" t="s">
        <x:v>169</x:v>
      </x:c>
      <x:c r="B30" s="12" t="s">
        <x:v>30</x:v>
      </x:c>
      <x:c r="C30" s="12" t="s">
        <x:v>170</x:v>
      </x:c>
      <x:c r="D30" s="13" t="s">
        <x:v>51</x:v>
      </x:c>
      <x:c r="E30" s="13" t="s">
        <x:v>171</x:v>
      </x:c>
      <x:c r="F30" s="13" t="s">
        <x:v>172</x:v>
      </x:c>
      <x:c r="G30" s="12" t="s">
        <x:v>24</x:v>
      </x:c>
      <x:c r="H30" s="12" t="s">
        <x:v>51</x:v>
      </x:c>
      <x:c r="I30" s="14" t="s">
        <x:v>51</x:v>
      </x:c>
      <x:c r="J30" s="12" t="s">
        <x:v>51</x:v>
      </x:c>
      <x:c r="K30" s="12" t="s">
        <x:v>54</x:v>
      </x:c>
    </x:row>
    <x:row r="31" spans="1:11">
      <x:c r="A31" s="15" t="s">
        <x:v>173</x:v>
      </x:c>
      <x:c r="B31" s="15" t="s">
        <x:v>31</x:v>
      </x:c>
      <x:c r="C31" s="15" t="s">
        <x:v>174</x:v>
      </x:c>
      <x:c r="D31" s="16" t="s">
        <x:v>51</x:v>
      </x:c>
      <x:c r="E31" s="16" t="s">
        <x:v>175</x:v>
      </x:c>
      <x:c r="F31" s="16" t="s">
        <x:v>176</x:v>
      </x:c>
      <x:c r="G31" s="15" t="s">
        <x:v>24</x:v>
      </x:c>
      <x:c r="H31" s="15" t="s">
        <x:v>51</x:v>
      </x:c>
      <x:c r="I31" s="17" t="s">
        <x:v>51</x:v>
      </x:c>
      <x:c r="J31" s="15" t="s">
        <x:v>51</x:v>
      </x:c>
      <x:c r="K31" s="15" t="s">
        <x:v>54</x:v>
      </x:c>
    </x:row>
    <x:row r="32" spans="1:11">
      <x:c r="A32" s="12" t="s">
        <x:v>177</x:v>
      </x:c>
      <x:c r="B32" s="12" t="s">
        <x:v>31</x:v>
      </x:c>
      <x:c r="C32" s="12" t="s">
        <x:v>178</x:v>
      </x:c>
      <x:c r="D32" s="13" t="s">
        <x:v>51</x:v>
      </x:c>
      <x:c r="E32" s="13" t="s">
        <x:v>179</x:v>
      </x:c>
      <x:c r="F32" s="13" t="s">
        <x:v>180</x:v>
      </x:c>
      <x:c r="G32" s="12" t="s">
        <x:v>24</x:v>
      </x:c>
      <x:c r="H32" s="12" t="s">
        <x:v>51</x:v>
      </x:c>
      <x:c r="I32" s="14" t="s">
        <x:v>51</x:v>
      </x:c>
      <x:c r="J32" s="12" t="s">
        <x:v>51</x:v>
      </x:c>
      <x:c r="K32" s="12" t="s">
        <x:v>54</x:v>
      </x:c>
    </x:row>
    <x:row r="33" spans="1:11">
      <x:c r="A33" s="15" t="s">
        <x:v>181</x:v>
      </x:c>
      <x:c r="B33" s="15" t="s">
        <x:v>31</x:v>
      </x:c>
      <x:c r="C33" s="15" t="s">
        <x:v>182</x:v>
      </x:c>
      <x:c r="D33" s="16" t="s">
        <x:v>51</x:v>
      </x:c>
      <x:c r="E33" s="16" t="s">
        <x:v>183</x:v>
      </x:c>
      <x:c r="F33" s="16" t="s">
        <x:v>184</x:v>
      </x:c>
      <x:c r="G33" s="15" t="s">
        <x:v>24</x:v>
      </x:c>
      <x:c r="H33" s="15" t="s">
        <x:v>51</x:v>
      </x:c>
      <x:c r="I33" s="17" t="s">
        <x:v>51</x:v>
      </x:c>
      <x:c r="J33" s="15" t="s">
        <x:v>51</x:v>
      </x:c>
      <x:c r="K33" s="15" t="s">
        <x:v>54</x:v>
      </x:c>
    </x:row>
    <x:row r="34" spans="1:11">
      <x:c r="A34" s="12" t="s">
        <x:v>185</x:v>
      </x:c>
      <x:c r="B34" s="12" t="s">
        <x:v>31</x:v>
      </x:c>
      <x:c r="C34" s="12" t="s">
        <x:v>186</x:v>
      </x:c>
      <x:c r="D34" s="13" t="s">
        <x:v>51</x:v>
      </x:c>
      <x:c r="E34" s="13" t="s">
        <x:v>187</x:v>
      </x:c>
      <x:c r="F34" s="13" t="s">
        <x:v>188</x:v>
      </x:c>
      <x:c r="G34" s="12" t="s">
        <x:v>24</x:v>
      </x:c>
      <x:c r="H34" s="12" t="s">
        <x:v>51</x:v>
      </x:c>
      <x:c r="I34" s="14" t="s">
        <x:v>51</x:v>
      </x:c>
      <x:c r="J34" s="12" t="s">
        <x:v>51</x:v>
      </x:c>
      <x:c r="K34" s="12" t="s">
        <x:v>54</x:v>
      </x:c>
    </x:row>
    <x:row r="35" spans="1:11">
      <x:c r="A35" s="15" t="s">
        <x:v>189</x:v>
      </x:c>
      <x:c r="B35" s="15" t="s">
        <x:v>31</x:v>
      </x:c>
      <x:c r="C35" s="15" t="s">
        <x:v>190</x:v>
      </x:c>
      <x:c r="D35" s="16" t="s">
        <x:v>51</x:v>
      </x:c>
      <x:c r="E35" s="16" t="s">
        <x:v>191</x:v>
      </x:c>
      <x:c r="F35" s="16" t="s">
        <x:v>192</x:v>
      </x:c>
      <x:c r="G35" s="15" t="s">
        <x:v>24</x:v>
      </x:c>
      <x:c r="H35" s="15" t="s">
        <x:v>51</x:v>
      </x:c>
      <x:c r="I35" s="17" t="s">
        <x:v>51</x:v>
      </x:c>
      <x:c r="J35" s="15" t="s">
        <x:v>51</x:v>
      </x:c>
      <x:c r="K35" s="15" t="s">
        <x:v>54</x:v>
      </x:c>
    </x:row>
    <x:row r="36" spans="1:11">
      <x:c r="A36" s="12" t="s">
        <x:v>193</x:v>
      </x:c>
      <x:c r="B36" s="12" t="s">
        <x:v>31</x:v>
      </x:c>
      <x:c r="C36" s="12" t="s">
        <x:v>194</x:v>
      </x:c>
      <x:c r="D36" s="13" t="s">
        <x:v>51</x:v>
      </x:c>
      <x:c r="E36" s="13" t="s">
        <x:v>195</x:v>
      </x:c>
      <x:c r="F36" s="13" t="s">
        <x:v>196</x:v>
      </x:c>
      <x:c r="G36" s="12" t="s">
        <x:v>24</x:v>
      </x:c>
      <x:c r="H36" s="12" t="s">
        <x:v>51</x:v>
      </x:c>
      <x:c r="I36" s="14" t="s">
        <x:v>51</x:v>
      </x:c>
      <x:c r="J36" s="12" t="s">
        <x:v>51</x:v>
      </x:c>
      <x:c r="K36" s="12" t="s">
        <x:v>54</x:v>
      </x:c>
    </x:row>
    <x:row r="37" spans="1:11">
      <x:c r="A37" s="15" t="s">
        <x:v>197</x:v>
      </x:c>
      <x:c r="B37" s="15" t="s">
        <x:v>31</x:v>
      </x:c>
      <x:c r="C37" s="15" t="s">
        <x:v>198</x:v>
      </x:c>
      <x:c r="D37" s="16" t="s">
        <x:v>51</x:v>
      </x:c>
      <x:c r="E37" s="16" t="s">
        <x:v>199</x:v>
      </x:c>
      <x:c r="F37" s="16" t="s">
        <x:v>200</x:v>
      </x:c>
      <x:c r="G37" s="15" t="s">
        <x:v>24</x:v>
      </x:c>
      <x:c r="H37" s="15" t="s">
        <x:v>51</x:v>
      </x:c>
      <x:c r="I37" s="17" t="s">
        <x:v>51</x:v>
      </x:c>
      <x:c r="J37" s="15" t="s">
        <x:v>51</x:v>
      </x:c>
      <x:c r="K37" s="15" t="s">
        <x:v>54</x:v>
      </x:c>
    </x:row>
    <x:row r="38" spans="1:11">
      <x:c r="A38" s="12" t="s">
        <x:v>201</x:v>
      </x:c>
      <x:c r="B38" s="12" t="s">
        <x:v>32</x:v>
      </x:c>
      <x:c r="C38" s="12" t="s">
        <x:v>202</x:v>
      </x:c>
      <x:c r="D38" s="13" t="s">
        <x:v>51</x:v>
      </x:c>
      <x:c r="E38" s="13" t="s">
        <x:v>203</x:v>
      </x:c>
      <x:c r="F38" s="13" t="s">
        <x:v>204</x:v>
      </x:c>
      <x:c r="G38" s="12" t="s">
        <x:v>24</x:v>
      </x:c>
      <x:c r="H38" s="12" t="s">
        <x:v>51</x:v>
      </x:c>
      <x:c r="I38" s="14" t="s">
        <x:v>51</x:v>
      </x:c>
      <x:c r="J38" s="12" t="s">
        <x:v>51</x:v>
      </x:c>
      <x:c r="K38" s="12" t="s">
        <x:v>54</x:v>
      </x:c>
    </x:row>
    <x:row r="39" spans="1:11">
      <x:c r="A39" s="15" t="s">
        <x:v>205</x:v>
      </x:c>
      <x:c r="B39" s="15" t="s">
        <x:v>32</x:v>
      </x:c>
      <x:c r="C39" s="15" t="s">
        <x:v>206</x:v>
      </x:c>
      <x:c r="D39" s="16" t="s">
        <x:v>51</x:v>
      </x:c>
      <x:c r="E39" s="16" t="s">
        <x:v>207</x:v>
      </x:c>
      <x:c r="F39" s="16" t="s">
        <x:v>208</x:v>
      </x:c>
      <x:c r="G39" s="15" t="s">
        <x:v>24</x:v>
      </x:c>
      <x:c r="H39" s="15" t="s">
        <x:v>51</x:v>
      </x:c>
      <x:c r="I39" s="17" t="s">
        <x:v>51</x:v>
      </x:c>
      <x:c r="J39" s="15" t="s">
        <x:v>51</x:v>
      </x:c>
      <x:c r="K39" s="15" t="s">
        <x:v>54</x:v>
      </x:c>
    </x:row>
    <x:row r="40" spans="1:11">
      <x:c r="A40" s="12" t="s">
        <x:v>209</x:v>
      </x:c>
      <x:c r="B40" s="12" t="s">
        <x:v>32</x:v>
      </x:c>
      <x:c r="C40" s="12" t="s">
        <x:v>210</x:v>
      </x:c>
      <x:c r="D40" s="13" t="s">
        <x:v>51</x:v>
      </x:c>
      <x:c r="E40" s="13" t="s">
        <x:v>211</x:v>
      </x:c>
      <x:c r="F40" s="13" t="s">
        <x:v>212</x:v>
      </x:c>
      <x:c r="G40" s="12" t="s">
        <x:v>24</x:v>
      </x:c>
      <x:c r="H40" s="12" t="s">
        <x:v>51</x:v>
      </x:c>
      <x:c r="I40" s="14" t="s">
        <x:v>51</x:v>
      </x:c>
      <x:c r="J40" s="12" t="s">
        <x:v>51</x:v>
      </x:c>
      <x:c r="K40" s="12" t="s">
        <x:v>54</x:v>
      </x:c>
    </x:row>
    <x:row r="41" spans="1:11">
      <x:c r="A41" s="15" t="s">
        <x:v>213</x:v>
      </x:c>
      <x:c r="B41" s="15" t="s">
        <x:v>33</x:v>
      </x:c>
      <x:c r="C41" s="15" t="s">
        <x:v>214</x:v>
      </x:c>
      <x:c r="D41" s="16" t="s">
        <x:v>51</x:v>
      </x:c>
      <x:c r="E41" s="16" t="s">
        <x:v>215</x:v>
      </x:c>
      <x:c r="F41" s="16" t="s">
        <x:v>216</x:v>
      </x:c>
      <x:c r="G41" s="15" t="s">
        <x:v>24</x:v>
      </x:c>
      <x:c r="H41" s="15" t="s">
        <x:v>51</x:v>
      </x:c>
      <x:c r="I41" s="17" t="s">
        <x:v>51</x:v>
      </x:c>
      <x:c r="J41" s="15" t="s">
        <x:v>51</x:v>
      </x:c>
      <x:c r="K41" s="15" t="s">
        <x:v>54</x:v>
      </x:c>
    </x:row>
    <x:row r="42" spans="1:11">
      <x:c r="A42" s="12" t="s">
        <x:v>217</x:v>
      </x:c>
      <x:c r="B42" s="12" t="s">
        <x:v>33</x:v>
      </x:c>
      <x:c r="C42" s="12" t="s">
        <x:v>218</x:v>
      </x:c>
      <x:c r="D42" s="13" t="s">
        <x:v>51</x:v>
      </x:c>
      <x:c r="E42" s="13" t="s">
        <x:v>219</x:v>
      </x:c>
      <x:c r="F42" s="13" t="s">
        <x:v>220</x:v>
      </x:c>
      <x:c r="G42" s="12" t="s">
        <x:v>24</x:v>
      </x:c>
      <x:c r="H42" s="12" t="s">
        <x:v>51</x:v>
      </x:c>
      <x:c r="I42" s="14" t="s">
        <x:v>51</x:v>
      </x:c>
      <x:c r="J42" s="12" t="s">
        <x:v>51</x:v>
      </x:c>
      <x:c r="K42" s="12" t="s">
        <x:v>54</x:v>
      </x:c>
    </x:row>
    <x:row r="43" spans="1:11">
      <x:c r="A43" s="15" t="s">
        <x:v>221</x:v>
      </x:c>
      <x:c r="B43" s="15" t="s">
        <x:v>33</x:v>
      </x:c>
      <x:c r="C43" s="15" t="s">
        <x:v>222</x:v>
      </x:c>
      <x:c r="D43" s="16" t="s">
        <x:v>223</x:v>
      </x:c>
      <x:c r="E43" s="16" t="s">
        <x:v>224</x:v>
      </x:c>
      <x:c r="F43" s="16" t="s">
        <x:v>225</x:v>
      </x:c>
      <x:c r="G43" s="15" t="s">
        <x:v>24</x:v>
      </x:c>
      <x:c r="H43" s="15" t="s">
        <x:v>51</x:v>
      </x:c>
      <x:c r="I43" s="17" t="s">
        <x:v>51</x:v>
      </x:c>
      <x:c r="J43" s="15" t="s">
        <x:v>51</x:v>
      </x:c>
      <x:c r="K43" s="15" t="s">
        <x:v>54</x:v>
      </x:c>
    </x:row>
    <x:row r="44" spans="1:11">
      <x:c r="A44" s="12" t="s">
        <x:v>226</x:v>
      </x:c>
      <x:c r="B44" s="12" t="s">
        <x:v>33</x:v>
      </x:c>
      <x:c r="C44" s="12" t="s">
        <x:v>227</x:v>
      </x:c>
      <x:c r="D44" s="13" t="s">
        <x:v>228</x:v>
      </x:c>
      <x:c r="E44" s="13" t="s">
        <x:v>229</x:v>
      </x:c>
      <x:c r="F44" s="13" t="s">
        <x:v>230</x:v>
      </x:c>
      <x:c r="G44" s="12" t="s">
        <x:v>24</x:v>
      </x:c>
      <x:c r="H44" s="12" t="s">
        <x:v>51</x:v>
      </x:c>
      <x:c r="I44" s="14" t="s">
        <x:v>51</x:v>
      </x:c>
      <x:c r="J44" s="12" t="s">
        <x:v>51</x:v>
      </x:c>
      <x:c r="K44" s="12" t="s">
        <x:v>54</x:v>
      </x:c>
    </x:row>
    <x:row r="45" spans="1:11">
      <x:c r="A45" s="15" t="s">
        <x:v>231</x:v>
      </x:c>
      <x:c r="B45" s="15" t="s">
        <x:v>33</x:v>
      </x:c>
      <x:c r="C45" s="15" t="s">
        <x:v>232</x:v>
      </x:c>
      <x:c r="D45" s="16" t="s">
        <x:v>51</x:v>
      </x:c>
      <x:c r="E45" s="16" t="s">
        <x:v>233</x:v>
      </x:c>
      <x:c r="F45" s="16" t="s">
        <x:v>234</x:v>
      </x:c>
      <x:c r="G45" s="15" t="s">
        <x:v>24</x:v>
      </x:c>
      <x:c r="H45" s="15" t="s">
        <x:v>51</x:v>
      </x:c>
      <x:c r="I45" s="17" t="s">
        <x:v>51</x:v>
      </x:c>
      <x:c r="J45" s="15" t="s">
        <x:v>51</x:v>
      </x:c>
      <x:c r="K45" s="15" t="s">
        <x:v>54</x:v>
      </x:c>
    </x:row>
    <x:row r="46" spans="1:11">
      <x:c r="A46" s="12" t="s">
        <x:v>235</x:v>
      </x:c>
      <x:c r="B46" s="12" t="s">
        <x:v>33</x:v>
      </x:c>
      <x:c r="C46" s="12" t="s">
        <x:v>236</x:v>
      </x:c>
      <x:c r="D46" s="13" t="s">
        <x:v>51</x:v>
      </x:c>
      <x:c r="E46" s="13" t="s">
        <x:v>237</x:v>
      </x:c>
      <x:c r="F46" s="13" t="s">
        <x:v>238</x:v>
      </x:c>
      <x:c r="G46" s="12" t="s">
        <x:v>24</x:v>
      </x:c>
      <x:c r="H46" s="12" t="s">
        <x:v>51</x:v>
      </x:c>
      <x:c r="I46" s="14" t="s">
        <x:v>51</x:v>
      </x:c>
      <x:c r="J46" s="12" t="s">
        <x:v>51</x:v>
      </x:c>
      <x:c r="K46" s="12" t="s">
        <x:v>54</x:v>
      </x:c>
    </x:row>
    <x:row r="47" spans="1:11">
      <x:c r="A47" s="15" t="s">
        <x:v>239</x:v>
      </x:c>
      <x:c r="B47" s="15" t="s">
        <x:v>34</x:v>
      </x:c>
      <x:c r="C47" s="15" t="s">
        <x:v>240</x:v>
      </x:c>
      <x:c r="D47" s="16" t="s">
        <x:v>241</x:v>
      </x:c>
      <x:c r="E47" s="16" t="s">
        <x:v>242</x:v>
      </x:c>
      <x:c r="F47" s="16" t="s">
        <x:v>243</x:v>
      </x:c>
      <x:c r="G47" s="15" t="s">
        <x:v>24</x:v>
      </x:c>
      <x:c r="H47" s="15" t="s">
        <x:v>51</x:v>
      </x:c>
      <x:c r="I47" s="17" t="s">
        <x:v>51</x:v>
      </x:c>
      <x:c r="J47" s="15" t="s">
        <x:v>51</x:v>
      </x:c>
      <x:c r="K47" s="15" t="s">
        <x:v>54</x:v>
      </x:c>
    </x:row>
    <x:row r="48" spans="1:11">
      <x:c r="A48" s="12" t="s">
        <x:v>244</x:v>
      </x:c>
      <x:c r="B48" s="12" t="s">
        <x:v>34</x:v>
      </x:c>
      <x:c r="C48" s="12" t="s">
        <x:v>245</x:v>
      </x:c>
      <x:c r="D48" s="13" t="s">
        <x:v>246</x:v>
      </x:c>
      <x:c r="E48" s="13" t="s">
        <x:v>247</x:v>
      </x:c>
      <x:c r="F48" s="13" t="s">
        <x:v>248</x:v>
      </x:c>
      <x:c r="G48" s="12" t="s">
        <x:v>24</x:v>
      </x:c>
      <x:c r="H48" s="12" t="s">
        <x:v>51</x:v>
      </x:c>
      <x:c r="I48" s="14" t="s">
        <x:v>51</x:v>
      </x:c>
      <x:c r="J48" s="12" t="s">
        <x:v>51</x:v>
      </x:c>
      <x:c r="K48" s="12" t="s">
        <x:v>54</x:v>
      </x:c>
    </x:row>
    <x:row r="49" spans="1:11">
      <x:c r="A49" s="15" t="s">
        <x:v>249</x:v>
      </x:c>
      <x:c r="B49" s="15" t="s">
        <x:v>34</x:v>
      </x:c>
      <x:c r="C49" s="15" t="s">
        <x:v>250</x:v>
      </x:c>
      <x:c r="D49" s="16" t="s">
        <x:v>251</x:v>
      </x:c>
      <x:c r="E49" s="16" t="s">
        <x:v>252</x:v>
      </x:c>
      <x:c r="F49" s="16" t="s">
        <x:v>253</x:v>
      </x:c>
      <x:c r="G49" s="15" t="s">
        <x:v>24</x:v>
      </x:c>
      <x:c r="H49" s="15" t="s">
        <x:v>51</x:v>
      </x:c>
      <x:c r="I49" s="17" t="s">
        <x:v>51</x:v>
      </x:c>
      <x:c r="J49" s="15" t="s">
        <x:v>51</x:v>
      </x:c>
      <x:c r="K49" s="15" t="s">
        <x:v>54</x:v>
      </x:c>
    </x:row>
    <x:row r="50" spans="1:11">
      <x:c r="A50" s="12" t="s">
        <x:v>254</x:v>
      </x:c>
      <x:c r="B50" s="12" t="s">
        <x:v>34</x:v>
      </x:c>
      <x:c r="C50" s="12" t="s">
        <x:v>255</x:v>
      </x:c>
      <x:c r="D50" s="13" t="s">
        <x:v>51</x:v>
      </x:c>
      <x:c r="E50" s="13" t="s">
        <x:v>256</x:v>
      </x:c>
      <x:c r="F50" s="13" t="s">
        <x:v>257</x:v>
      </x:c>
      <x:c r="G50" s="12" t="s">
        <x:v>24</x:v>
      </x:c>
      <x:c r="H50" s="12" t="s">
        <x:v>51</x:v>
      </x:c>
      <x:c r="I50" s="14" t="s">
        <x:v>51</x:v>
      </x:c>
      <x:c r="J50" s="12" t="s">
        <x:v>51</x:v>
      </x:c>
      <x:c r="K50" s="12" t="s">
        <x:v>54</x:v>
      </x:c>
    </x:row>
    <x:row r="51" spans="1:11">
      <x:c r="A51" s="15" t="s">
        <x:v>258</x:v>
      </x:c>
      <x:c r="B51" s="15" t="s">
        <x:v>35</x:v>
      </x:c>
      <x:c r="C51" s="15" t="s">
        <x:v>259</x:v>
      </x:c>
      <x:c r="D51" s="16" t="s">
        <x:v>51</x:v>
      </x:c>
      <x:c r="E51" s="16" t="s">
        <x:v>260</x:v>
      </x:c>
      <x:c r="F51" s="16" t="s">
        <x:v>261</x:v>
      </x:c>
      <x:c r="G51" s="15" t="s">
        <x:v>24</x:v>
      </x:c>
      <x:c r="H51" s="15" t="s">
        <x:v>51</x:v>
      </x:c>
      <x:c r="I51" s="17" t="s">
        <x:v>51</x:v>
      </x:c>
      <x:c r="J51" s="15" t="s">
        <x:v>51</x:v>
      </x:c>
      <x:c r="K51" s="15" t="s">
        <x:v>54</x:v>
      </x:c>
    </x:row>
    <x:row r="52" spans="1:11">
      <x:c r="A52" s="12" t="s">
        <x:v>262</x:v>
      </x:c>
      <x:c r="B52" s="12" t="s">
        <x:v>35</x:v>
      </x:c>
      <x:c r="C52" s="12" t="s">
        <x:v>263</x:v>
      </x:c>
      <x:c r="D52" s="13" t="s">
        <x:v>51</x:v>
      </x:c>
      <x:c r="E52" s="13" t="s">
        <x:v>264</x:v>
      </x:c>
      <x:c r="F52" s="13" t="s">
        <x:v>265</x:v>
      </x:c>
      <x:c r="G52" s="12" t="s">
        <x:v>24</x:v>
      </x:c>
      <x:c r="H52" s="12" t="s">
        <x:v>51</x:v>
      </x:c>
      <x:c r="I52" s="14" t="s">
        <x:v>51</x:v>
      </x:c>
      <x:c r="J52" s="12" t="s">
        <x:v>51</x:v>
      </x:c>
      <x:c r="K52" s="12" t="s">
        <x:v>54</x:v>
      </x:c>
    </x:row>
    <x:row r="53" spans="1:11">
      <x:c r="A53" s="15" t="s">
        <x:v>266</x:v>
      </x:c>
      <x:c r="B53" s="15" t="s">
        <x:v>35</x:v>
      </x:c>
      <x:c r="C53" s="15" t="s">
        <x:v>267</x:v>
      </x:c>
      <x:c r="D53" s="16" t="s">
        <x:v>51</x:v>
      </x:c>
      <x:c r="E53" s="16" t="s">
        <x:v>268</x:v>
      </x:c>
      <x:c r="F53" s="16" t="s">
        <x:v>269</x:v>
      </x:c>
      <x:c r="G53" s="15" t="s">
        <x:v>24</x:v>
      </x:c>
      <x:c r="H53" s="15" t="s">
        <x:v>51</x:v>
      </x:c>
      <x:c r="I53" s="17" t="s">
        <x:v>51</x:v>
      </x:c>
      <x:c r="J53" s="15" t="s">
        <x:v>51</x:v>
      </x:c>
      <x:c r="K53" s="15" t="s">
        <x:v>54</x:v>
      </x:c>
    </x:row>
    <x:row r="54" spans="1:11">
      <x:c r="A54" s="12" t="s">
        <x:v>270</x:v>
      </x:c>
      <x:c r="B54" s="12" t="s">
        <x:v>36</x:v>
      </x:c>
      <x:c r="C54" s="12" t="s">
        <x:v>271</x:v>
      </x:c>
      <x:c r="D54" s="13" t="s">
        <x:v>51</x:v>
      </x:c>
      <x:c r="E54" s="13" t="s">
        <x:v>272</x:v>
      </x:c>
      <x:c r="F54" s="13" t="s">
        <x:v>273</x:v>
      </x:c>
      <x:c r="G54" s="12" t="s">
        <x:v>24</x:v>
      </x:c>
      <x:c r="H54" s="12" t="s">
        <x:v>51</x:v>
      </x:c>
      <x:c r="I54" s="14" t="s">
        <x:v>51</x:v>
      </x:c>
      <x:c r="J54" s="12" t="s">
        <x:v>51</x:v>
      </x:c>
      <x:c r="K54" s="12" t="s">
        <x:v>54</x:v>
      </x:c>
    </x:row>
    <x:row r="55" spans="1:11">
      <x:c r="A55" s="15" t="s">
        <x:v>274</x:v>
      </x:c>
      <x:c r="B55" s="15" t="s">
        <x:v>36</x:v>
      </x:c>
      <x:c r="C55" s="15" t="s">
        <x:v>275</x:v>
      </x:c>
      <x:c r="D55" s="16" t="s">
        <x:v>51</x:v>
      </x:c>
      <x:c r="E55" s="16" t="s">
        <x:v>276</x:v>
      </x:c>
      <x:c r="F55" s="16" t="s">
        <x:v>277</x:v>
      </x:c>
      <x:c r="G55" s="15" t="s">
        <x:v>24</x:v>
      </x:c>
      <x:c r="H55" s="15" t="s">
        <x:v>51</x:v>
      </x:c>
      <x:c r="I55" s="17" t="s">
        <x:v>51</x:v>
      </x:c>
      <x:c r="J55" s="15" t="s">
        <x:v>51</x:v>
      </x:c>
      <x:c r="K55" s="15" t="s">
        <x:v>54</x:v>
      </x:c>
    </x:row>
    <x:row r="56" spans="1:11">
      <x:c r="A56" s="12" t="s">
        <x:v>278</x:v>
      </x:c>
      <x:c r="B56" s="12" t="s">
        <x:v>36</x:v>
      </x:c>
      <x:c r="C56" s="12" t="s">
        <x:v>279</x:v>
      </x:c>
      <x:c r="D56" s="13" t="s">
        <x:v>51</x:v>
      </x:c>
      <x:c r="E56" s="13" t="s">
        <x:v>280</x:v>
      </x:c>
      <x:c r="F56" s="13" t="s">
        <x:v>281</x:v>
      </x:c>
      <x:c r="G56" s="12" t="s">
        <x:v>24</x:v>
      </x:c>
      <x:c r="H56" s="12" t="s">
        <x:v>51</x:v>
      </x:c>
      <x:c r="I56" s="14" t="s">
        <x:v>51</x:v>
      </x:c>
      <x:c r="J56" s="12" t="s">
        <x:v>51</x:v>
      </x:c>
      <x:c r="K56" s="12" t="s">
        <x:v>54</x:v>
      </x:c>
    </x:row>
    <x:row r="57" spans="1:11">
      <x:c r="A57" s="15" t="s">
        <x:v>282</x:v>
      </x:c>
      <x:c r="B57" s="15" t="s">
        <x:v>36</x:v>
      </x:c>
      <x:c r="C57" s="15" t="s">
        <x:v>283</x:v>
      </x:c>
      <x:c r="D57" s="16" t="s">
        <x:v>51</x:v>
      </x:c>
      <x:c r="E57" s="16" t="s">
        <x:v>284</x:v>
      </x:c>
      <x:c r="F57" s="16" t="s">
        <x:v>285</x:v>
      </x:c>
      <x:c r="G57" s="15" t="s">
        <x:v>24</x:v>
      </x:c>
      <x:c r="H57" s="15" t="s">
        <x:v>51</x:v>
      </x:c>
      <x:c r="I57" s="17" t="s">
        <x:v>51</x:v>
      </x:c>
      <x:c r="J57" s="15" t="s">
        <x:v>51</x:v>
      </x:c>
      <x:c r="K57" s="15" t="s">
        <x:v>54</x:v>
      </x:c>
    </x:row>
    <x:row r="58" spans="1:11">
      <x:c r="A58" s="12" t="s">
        <x:v>286</x:v>
      </x:c>
      <x:c r="B58" s="12" t="s">
        <x:v>37</x:v>
      </x:c>
      <x:c r="C58" s="12" t="s">
        <x:v>287</x:v>
      </x:c>
      <x:c r="D58" s="13" t="s">
        <x:v>51</x:v>
      </x:c>
      <x:c r="E58" s="13" t="s">
        <x:v>288</x:v>
      </x:c>
      <x:c r="F58" s="13" t="s">
        <x:v>289</x:v>
      </x:c>
      <x:c r="G58" s="12" t="s">
        <x:v>24</x:v>
      </x:c>
      <x:c r="H58" s="12" t="s">
        <x:v>51</x:v>
      </x:c>
      <x:c r="I58" s="14" t="s">
        <x:v>51</x:v>
      </x:c>
      <x:c r="J58" s="12" t="s">
        <x:v>51</x:v>
      </x:c>
      <x:c r="K58" s="12" t="s">
        <x:v>290</x:v>
      </x:c>
    </x:row>
    <x:row r="59" spans="1:11">
      <x:c r="A59" s="15" t="s">
        <x:v>291</x:v>
      </x:c>
      <x:c r="B59" s="15" t="s">
        <x:v>37</x:v>
      </x:c>
      <x:c r="C59" s="15" t="s">
        <x:v>292</x:v>
      </x:c>
      <x:c r="D59" s="16" t="s">
        <x:v>51</x:v>
      </x:c>
      <x:c r="E59" s="16" t="s">
        <x:v>293</x:v>
      </x:c>
      <x:c r="F59" s="16" t="s">
        <x:v>294</x:v>
      </x:c>
      <x:c r="G59" s="15" t="s">
        <x:v>24</x:v>
      </x:c>
      <x:c r="H59" s="15" t="s">
        <x:v>51</x:v>
      </x:c>
      <x:c r="I59" s="17" t="s">
        <x:v>51</x:v>
      </x:c>
      <x:c r="J59" s="15" t="s">
        <x:v>51</x:v>
      </x:c>
      <x:c r="K59" s="15" t="s">
        <x:v>290</x:v>
      </x:c>
    </x:row>
    <x:row r="60" spans="1:11">
      <x:c r="A60" s="12" t="s">
        <x:v>295</x:v>
      </x:c>
      <x:c r="B60" s="12" t="s">
        <x:v>37</x:v>
      </x:c>
      <x:c r="C60" s="12" t="s">
        <x:v>296</x:v>
      </x:c>
      <x:c r="D60" s="13" t="s">
        <x:v>297</x:v>
      </x:c>
      <x:c r="E60" s="13" t="s">
        <x:v>298</x:v>
      </x:c>
      <x:c r="F60" s="13" t="s">
        <x:v>299</x:v>
      </x:c>
      <x:c r="G60" s="12" t="s">
        <x:v>24</x:v>
      </x:c>
      <x:c r="H60" s="12" t="s">
        <x:v>51</x:v>
      </x:c>
      <x:c r="I60" s="14" t="s">
        <x:v>51</x:v>
      </x:c>
      <x:c r="J60" s="12" t="s">
        <x:v>51</x:v>
      </x:c>
      <x:c r="K60" s="12" t="s">
        <x:v>290</x:v>
      </x:c>
    </x:row>
    <x:row r="61" spans="1:11">
      <x:c r="A61" s="15" t="s">
        <x:v>300</x:v>
      </x:c>
      <x:c r="B61" s="15" t="s">
        <x:v>37</x:v>
      </x:c>
      <x:c r="C61" s="15" t="s">
        <x:v>301</x:v>
      </x:c>
      <x:c r="D61" s="16" t="s">
        <x:v>51</x:v>
      </x:c>
      <x:c r="E61" s="16" t="s">
        <x:v>302</x:v>
      </x:c>
      <x:c r="F61" s="16" t="s">
        <x:v>303</x:v>
      </x:c>
      <x:c r="G61" s="15" t="s">
        <x:v>24</x:v>
      </x:c>
      <x:c r="H61" s="15" t="s">
        <x:v>51</x:v>
      </x:c>
      <x:c r="I61" s="17" t="s">
        <x:v>51</x:v>
      </x:c>
      <x:c r="J61" s="15" t="s">
        <x:v>51</x:v>
      </x:c>
      <x:c r="K61" s="15" t="s">
        <x:v>290</x:v>
      </x:c>
    </x:row>
    <x:row r="62" spans="1:11">
      <x:c r="A62" s="12" t="s">
        <x:v>304</x:v>
      </x:c>
      <x:c r="B62" s="12" t="s">
        <x:v>37</x:v>
      </x:c>
      <x:c r="C62" s="12" t="s">
        <x:v>305</x:v>
      </x:c>
      <x:c r="D62" s="13" t="s">
        <x:v>51</x:v>
      </x:c>
      <x:c r="E62" s="13" t="s">
        <x:v>306</x:v>
      </x:c>
      <x:c r="F62" s="13" t="s">
        <x:v>307</x:v>
      </x:c>
      <x:c r="G62" s="12" t="s">
        <x:v>24</x:v>
      </x:c>
      <x:c r="H62" s="12" t="s">
        <x:v>51</x:v>
      </x:c>
      <x:c r="I62" s="14" t="s">
        <x:v>51</x:v>
      </x:c>
      <x:c r="J62" s="12" t="s">
        <x:v>51</x:v>
      </x:c>
      <x:c r="K62" s="12" t="s">
        <x:v>290</x:v>
      </x:c>
    </x:row>
    <x:row r="63" spans="1:11">
      <x:c r="A63" s="15" t="s">
        <x:v>308</x:v>
      </x:c>
      <x:c r="B63" s="15" t="s">
        <x:v>37</x:v>
      </x:c>
      <x:c r="C63" s="15" t="s">
        <x:v>309</x:v>
      </x:c>
      <x:c r="D63" s="16" t="s">
        <x:v>51</x:v>
      </x:c>
      <x:c r="E63" s="16" t="s">
        <x:v>310</x:v>
      </x:c>
      <x:c r="F63" s="16" t="s">
        <x:v>311</x:v>
      </x:c>
      <x:c r="G63" s="15" t="s">
        <x:v>24</x:v>
      </x:c>
      <x:c r="H63" s="15" t="s">
        <x:v>51</x:v>
      </x:c>
      <x:c r="I63" s="17" t="s">
        <x:v>51</x:v>
      </x:c>
      <x:c r="J63" s="15" t="s">
        <x:v>51</x:v>
      </x:c>
      <x:c r="K63" s="15" t="s">
        <x:v>290</x:v>
      </x:c>
    </x:row>
  </x:sheetData>
  <x:autoFilter ref="A1:K63"/>
  <x:conditionalFormatting sqref="G2:G63">
    <x:cfRule type="cellIs" dxfId="3" priority="1" operator="equal">
      <x:formula>"Pass"</x:formula>
    </x:cfRule>
    <x:cfRule type="cellIs" dxfId="4" priority="2" operator="equal">
      <x:formula>"Fail"</x:formula>
    </x:cfRule>
    <x:cfRule type="cellIs" dxfId="5" priority="3" operator="equal">
      <x:formula>"Blocked"</x:formula>
    </x:cfRule>
    <x:cfRule type="cellIs" dxfId="6" priority="4" operator="equal">
      <x:formula>"Skipped"</x:formula>
    </x:cfRule>
  </x:conditionalFormatting>
  <x:conditionalFormatting sqref="K2:K63">
    <x:cfRule type="cellIs" dxfId="7" priority="5" operator="equal">
      <x:formula>"Core"</x:formula>
    </x:cfRule>
    <x:cfRule type="cellIs" dxfId="8" priority="6" operator="equal">
      <x:formula>"Edge"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G2:G63">
      <x:formula1>"Not Tested,Pass,Fail,Blocked,Skipped"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Summary</vt:lpstr>
      <vt:lpstr>Test Cases</vt:lpstr>
      <vt:lpstr>Summary!Print_Area</vt:lpstr>
      <vt:lpstr>Summary!Print_Titles</vt:lpstr>
      <vt:lpstr>Test Cases!Print_Area</vt:lpstr>
      <vt:lpstr>Test Cases!Print_Titles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