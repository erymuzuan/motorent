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f6e580a98f94bd9" /><Relationship Type="http://schemas.openxmlformats.org/officeDocument/2006/relationships/extended-properties" Target="/docProps/app.xml" Id="rId1" /><Relationship Type="http://schemas.openxmlformats.org/package/2006/relationships/metadata/core-properties" Target="/package/services/metadata/core-properties/c61076450d3f4ec08401b23f77e41fbc.psmdcp" Id="Ree95c67df3054bd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ummary" sheetId="1" r:id="rId2"/>
    <x:sheet name="Test Cases" sheetId="2" r:id="rId3"/>
  </x:sheets>
  <x:definedNames>
    <x:definedName name="_xlnm._FilterDatabase" localSheetId="1" hidden="1">'Test Cases'!$A$1:$K$57</x:definedName>
  </x:definedNames>
  <x:calcPr calcId="125725"/>
</x:workbook>
</file>

<file path=xl/calcChain.xml><?xml version="1.0" encoding="utf-8"?>
<x:calcChain xmlns:x="http://schemas.openxmlformats.org/spreadsheetml/2006/main">
  <x:c r="C21" i="1"/>
  <x:c r="D21" i="1"/>
  <x:c r="E21" i="1"/>
  <x:c r="F21" i="1"/>
  <x:c r="G21" i="1"/>
  <x:c r="C22" i="1"/>
  <x:c r="D22" i="1"/>
  <x:c r="E22" i="1"/>
  <x:c r="F22" i="1"/>
  <x:c r="G22" i="1"/>
  <x:c r="C23" i="1"/>
  <x:c r="D23" i="1"/>
  <x:c r="E23" i="1"/>
  <x:c r="F23" i="1"/>
  <x:c r="G23" i="1"/>
  <x:c r="C24" i="1"/>
  <x:c r="D24" i="1"/>
  <x:c r="E24" i="1"/>
  <x:c r="F24" i="1"/>
  <x:c r="G24" i="1"/>
  <x:c r="C25" i="1"/>
  <x:c r="D25" i="1"/>
  <x:c r="E25" i="1"/>
  <x:c r="F25" i="1"/>
  <x:c r="G25" i="1"/>
  <x:c r="C26" i="1"/>
  <x:c r="D26" i="1"/>
  <x:c r="E26" i="1"/>
  <x:c r="F26" i="1"/>
  <x:c r="G26" i="1"/>
  <x:c r="C27" i="1"/>
  <x:c r="D27" i="1"/>
  <x:c r="E27" i="1"/>
  <x:c r="F27" i="1"/>
  <x:c r="G27" i="1"/>
  <x:c r="B28" i="1"/>
  <x:c r="C28" i="1"/>
  <x:c r="D28" i="1"/>
  <x:c r="E28" i="1"/>
  <x:c r="F28" i="1"/>
  <x:c r="G28" i="1"/>
</x:calcChain>
</file>

<file path=xl/sharedStrings.xml><?xml version="1.0" encoding="utf-8"?>
<x:sst xmlns:x="http://schemas.openxmlformats.org/spreadsheetml/2006/main">
  <x:si>
    <x:t>Test Plan 03: Checkout Staff - Return, Damage &amp; Settlement Workflow</x:t>
  </x:si>
  <x:si>
    <x:t>Role:</x:t>
  </x:si>
  <x:si>
    <x:t>Staff handling vehicle return, damage assessment, and settlement</x:t>
  </x:si>
  <x:si>
    <x:t>Access Policy:</x:t>
  </x:si>
  <x:si>
    <x:t>RequireTenantStaff</x:t>
  </x:si>
  <x:si>
    <x:t>Primary Pages:</x:t>
  </x:si>
  <x:si>
    <x:t>`/rentals/checkout/{RentalRef}`, `/staff/return`, `/damage-reports`</x:t>
  </x:si>
  <x:si>
    <x:t>Prerequisites</x:t>
  </x:si>
  <x:si>
    <x:t>☐</x:t>
  </x:si>
  <x:si>
    <x:t>Logged in as a user with Staff, ShopManager, or OrgAdmin role</x:t>
  </x:si>
  <x:si>
    <x:t>Active till session open</x:t>
  </x:si>
  <x:si>
    <x:t>At least 3 active rentals available for checkout testing:</x:t>
  </x:si>
  <x:si>
    <x:t>1 daily rental (on time or overdue)</x:t>
  </x:si>
  <x:si>
    <x:t>1 hourly rental</x:t>
  </x:si>
  <x:si>
    <x:t>1 rental with accessories checked out</x:t>
  </x:si>
  <x:si>
    <x:t>At least 1 rental with a pooled vehicle (for cross-shop return tests)</x:t>
  </x:si>
  <x:si>
    <x:t>At least 1 rental overdue by 1+ days</x:t>
  </x:si>
  <x:si>
    <x:t>Service locations configured (for drop-off tests)</x:t>
  </x:si>
  <x:si>
    <x:t>Vehicle with 3D model (GLB file) available for 3D inspection tests</x:t>
  </x:si>
  <x:si>
    <x:t>Section Progress</x:t>
  </x:si>
  <x:si>
    <x:t>Section</x:t>
  </x:si>
  <x:si>
    <x:t>Total</x:t>
  </x:si>
  <x:si>
    <x:t>Passed</x:t>
  </x:si>
  <x:si>
    <x:t>Failed</x:t>
  </x:si>
  <x:si>
    <x:t>Blocked</x:t>
  </x:si>
  <x:si>
    <x:t>Not Tested</x:t>
  </x:si>
  <x:si>
    <x:t>% Complete</x:t>
  </x:si>
  <x:si>
    <x:t>Return Information - Step 1 (CheckOut.razor)</x:t>
  </x:si>
  <x:si>
    <x:t>Damage Assessment - Step 2</x:t>
  </x:si>
  <x:si>
    <x:t>Settlement - Step 3</x:t>
  </x:si>
  <x:si>
    <x:t>Mobile Return</x:t>
  </x:si>
  <x:si>
    <x:t>Damage Reports</x:t>
  </x:si>
  <x:si>
    <x:t>Inspection Comparison</x:t>
  </x:si>
  <x:si>
    <x:t>Edge Cases &amp; Error Scenarios</x:t>
  </x:si>
  <x:si>
    <x:t>TOTAL</x:t>
  </x:si>
  <x:si>
    <x:t>TC ID</x:t>
  </x:si>
  <x:si>
    <x:t>Test Case</x:t>
  </x:si>
  <x:si>
    <x:t>Precondition</x:t>
  </x:si>
  <x:si>
    <x:t>Steps</x:t>
  </x:si>
  <x:si>
    <x:t>Expected Result</x:t>
  </x:si>
  <x:si>
    <x:t>Status</x:t>
  </x:si>
  <x:si>
    <x:t>Tester</x:t>
  </x:si>
  <x:si>
    <x:t>Test Date</x:t>
  </x:si>
  <x:si>
    <x:t>Notes</x:t>
  </x:si>
  <x:si>
    <x:t>Priority</x:t>
  </x:si>
  <x:si>
    <x:t>TC-1.1</x:t>
  </x:si>
  <x:si>
    <x:t>Start Checkout - Daily Rental</x:t>
  </x:si>
  <x:si>
    <x:t/>
  </x:si>
  <x:si>
    <x:t>1. Navigate to `/rentals/checkout/{RentalRef}` for an active daily rental
2. Observe the rental summary displayed</x:t>
  </x:si>
  <x:si>
    <x:t>Rental summary shows: Renter name, vehicle details, rental dates, amount paid
Actual return date selector visible (pre-filled with today)
Mileage input visible (for motorbike/car/van vehicles)</x:t>
  </x:si>
  <x:si>
    <x:t>Core</x:t>
  </x:si>
  <x:si>
    <x:t>TC-1.2</x:t>
  </x:si>
  <x:si>
    <x:t>Set Actual Return Date</x:t>
  </x:si>
  <x:si>
    <x:t>1. Change the actual return date to today
2. If rental is overdue (expected return was yesterday), observe late return alert</x:t>
  </x:si>
  <x:si>
    <x:t>Return date accepted
If overdue: Late return alert shown with extra days/hours count
Extra charges calculated (daily or hourly mode depending on configuration)</x:t>
  </x:si>
  <x:si>
    <x:t>TC-1.3</x:t>
  </x:si>
  <x:si>
    <x:t>Enter Mileage at Return</x:t>
  </x:si>
  <x:si>
    <x:t>1. Enter mileage value greater than mileage at check-in
2. Try entering a value less than mileage at check-in</x:t>
  </x:si>
  <x:si>
    <x:t>Mileage accepted when &gt;= MileageStart
Validation error when &lt; MileageStart
Mileage input only shown for vehicles that track mileage (Motorbike, Car, Van)</x:t>
  </x:si>
  <x:si>
    <x:t>TC-1.4</x:t>
  </x:si>
  <x:si>
    <x:t>Hourly Rental Return</x:t>
  </x:si>
  <x:si>
    <x:t>Active hourly rental.</x:t>
  </x:si>
  <x:si>
    <x:t>1. Open checkout for an hourly rental
2. Observe the return form</x:t>
  </x:si>
  <x:si>
    <x:t>Actual return date selector hidden (auto-calculated)
Extra hours calculated if over booked hours
Extra charge = extra hours x hourly rate</x:t>
  </x:si>
  <x:si>
    <x:t>TC-1.5</x:t>
  </x:si>
  <x:si>
    <x:t>Interval Rental Return (Jet Ski)</x:t>
  </x:si>
  <x:si>
    <x:t>Active interval rental.</x:t>
  </x:si>
  <x:si>
    <x:t>1. Open checkout for a jet ski rental
2. Observe the return form</x:t>
  </x:si>
  <x:si>
    <x:t>Return date selector hidden
If over the interval duration: prorated hourly charge for extra minutes</x:t>
  </x:si>
  <x:si>
    <x:t>TC-1.6</x:t>
  </x:si>
  <x:si>
    <x:t>Cross-Shop Return</x:t>
  </x:si>
  <x:si>
    <x:t>Rental of a pooled vehicle.</x:t>
  </x:si>
  <x:si>
    <x:t>1. Open checkout for a pooled vehicle rental
2. Select a different return shop from the cross-shop selector</x:t>
  </x:si>
  <x:si>
    <x:t>Cross-shop return dropdown visible (only for pooled vehicles)
Shows shops in the vehicle pool
Selected return shop stored as ReturnShopId</x:t>
  </x:si>
  <x:si>
    <x:t>TC-1.7</x:t>
  </x:si>
  <x:si>
    <x:t>Cross-Shop Return - Non-Pooled Vehicle</x:t>
  </x:si>
  <x:si>
    <x:t>Rental of a non-pooled vehicle.</x:t>
  </x:si>
  <x:si>
    <x:t>1. Open checkout for a non-pooled vehicle</x:t>
  </x:si>
  <x:si>
    <x:t>Cross-shop return selector not visible
Vehicle must return to the shop it was rented from (RentedFromShopId)</x:t>
  </x:si>
  <x:si>
    <x:t>TC-1.8</x:t>
  </x:si>
  <x:si>
    <x:t>Drop-Off Location &amp; Time</x:t>
  </x:si>
  <x:si>
    <x:t>1. Select a drop-off service location from the selector
2. Set a drop-off time during operating hours
3. Change time to outside operating hours</x:t>
  </x:si>
  <x:si>
    <x:t>Location fee displayed when location selected
In-hours: only location fee applies
Out-of-hours: additional out-of-hours fee calculated and shown
Both fees appear in settlement summary</x:t>
  </x:si>
  <x:si>
    <x:t>TC-1.9</x:t>
  </x:si>
  <x:si>
    <x:t>Fuel Level Assessment</x:t>
  </x:si>
  <x:si>
    <x:t>1. Select each fuel level option in sequence:
- Full (100%) - battery 4 bars icon
- Three-Quarters (75%) - battery 3 bars icon
- Half (50%) - battery 2 bars icon
- Quarter (25%) - battery 1 bar icon
- Empty (0%) - battery off icon</x:t>
  </x:si>
  <x:si>
    <x:t>Each level shows corresponding icon
If fuel returned &lt; fuel at check-in: fuel surcharge calculated
Surcharge formula: (deficit quarters) x surcharge per quarter (default 50 per quarter)
If fuel returned &gt;= fuel at check-in: no surcharge</x:t>
  </x:si>
  <x:si>
    <x:t>TC-1.10</x:t>
  </x:si>
  <x:si>
    <x:t>Fuel Surcharge Calculation</x:t>
  </x:si>
  <x:si>
    <x:t>Vehicle checked in at Full (100%).</x:t>
  </x:si>
  <x:si>
    <x:t>1. Set fuel level to Quarter (25%)
2. Observe surcharge</x:t>
  </x:si>
  <x:si>
    <x:t>Deficit = 3 quarters (Full to Quarter)
Surcharge = 3 x fuel surcharge rate per quarter
Surcharge displayed in settlement summary</x:t>
  </x:si>
  <x:si>
    <x:t>TC-1.11</x:t>
  </x:si>
  <x:si>
    <x:t>Accessories Return Checklist</x:t>
  </x:si>
  <x:si>
    <x:t>Rental with accessories checked out.</x:t>
  </x:si>
  <x:si>
    <x:t>1. For each accessory, enter the quantity returned
2. Set one accessory quantity to less than rented
3. Verify all accessories returned for another</x:t>
  </x:si>
  <x:si>
    <x:t>Each accessory shows: name, quantity rented, quantity returned input (0 to QuantityRented)
Missing calculated: QuantityRented - QuantityReturned
Missing charge: 500 per missing accessory
Fully returned accessories show no charge</x:t>
  </x:si>
  <x:si>
    <x:t>TC-1.12</x:t>
  </x:si>
  <x:si>
    <x:t>Cleanliness Assessment</x:t>
  </x:si>
  <x:si>
    <x:t>1. Select "Clean" - observe no fee
2. Switch to "Dirty" - observe cleaning fee
3. Switch to "Very Dirty" - observe higher cleaning fee</x:t>
  </x:si>
  <x:si>
    <x:t>**Clean** (sparkles icon): Fee = 0
**Dirty** (water droplet icon): Fee from vehicle/fleet model CleaningFeeDirty (default 100)
**Very Dirty** (filled droplet icon): Fee from vehicle/fleet model CleaningFeeVeryDirty (default 200)
Default selection is "Clean"
Fee reflected in settlement</x:t>
  </x:si>
  <x:si>
    <x:t>TC-1.13</x:t>
  </x:si>
  <x:si>
    <x:t>Post-Rental Inspection</x:t>
  </x:si>
  <x:si>
    <x:t>1. Select an inspector using the InspectionSelector
2. Choose "Shop Staff" and select from dropdown
3. Add inspection notes</x:t>
  </x:si>
  <x:si>
    <x:t>Inspector stored with name, user ID, timestamp
Notes saved
Required before completing checkout</x:t>
  </x:si>
  <x:si>
    <x:t>TC-1.14</x:t>
  </x:si>
  <x:si>
    <x:t>Return Notes</x:t>
  </x:si>
  <x:si>
    <x:t>1. Enter notes in the Return Notes textarea (e.g., "Late return, customer apologized")</x:t>
  </x:si>
  <x:si>
    <x:t>Notes accepted as free text
Stored with the checkout record</x:t>
  </x:si>
  <x:si>
    <x:t>TC-2.1</x:t>
  </x:si>
  <x:si>
    <x:t>No Damage - Standard Mode</x:t>
  </x:si>
  <x:si>
    <x:t>1. Proceed to Damage Assessment step
2. Select Damage Level: "None"</x:t>
  </x:si>
  <x:si>
    <x:t>Description and cost fields hidden or disabled
Photo upload not required
No damage charge in settlement
Can proceed to Step 3</x:t>
  </x:si>
  <x:si>
    <x:t>TC-2.2</x:t>
  </x:si>
  <x:si>
    <x:t>Minor Damage - Standard Mode</x:t>
  </x:si>
  <x:si>
    <x:t>1. Select Damage Level: "Minor"
2. Enter Description: "Small scratch on left side panel"
3. Enter Estimated Repair Cost: 500
4. Upload 1-2 photos</x:t>
  </x:si>
  <x:si>
    <x:t>Description field becomes required
Cost field accepts value (min 0, max 100000, step 100)
Photos uploaded successfully (max 5)
Damage charge = 500 in settlement</x:t>
  </x:si>
  <x:si>
    <x:t>TC-2.3</x:t>
  </x:si>
  <x:si>
    <x:t>Major Damage - Standard Mode</x:t>
  </x:si>
  <x:si>
    <x:t>1. Select Damage Level: "Major"
2. Enter Description: "Front fender cracked, mirror broken"
3. Enter Estimated Repair Cost: 5000
4. Upload 3 photos</x:t>
  </x:si>
  <x:si>
    <x:t>Same form as minor but with severity = "Major"
Higher cost accepted
All photos stored</x:t>
  </x:si>
  <x:si>
    <x:t>TC-2.4</x:t>
  </x:si>
  <x:si>
    <x:t>Photo Upload - File and Camera</x:t>
  </x:si>
  <x:si>
    <x:t>1. Upload a photo via file picker (drag-and-drop or browse)
2. Upload a photo via camera capture
3. Try uploading more than 5 photos</x:t>
  </x:si>
  <x:si>
    <x:t>File upload: Accepts image files up to 10MB
Camera capture: Opens device camera
Max 5 photos per damage report
6th photo rejected with message
Photos show "Before"/"After" tags</x:t>
  </x:si>
  <x:si>
    <x:t>TC-2.5</x:t>
  </x:si>
  <x:si>
    <x:t>3D Inspection Mode</x:t>
  </x:si>
  <x:si>
    <x:t>Vehicle has a 3D model (GLB file).</x:t>
  </x:si>
  <x:si>
    <x:t>1. Toggle to "3D Inspection" mode
2. Click on the 3D vehicle model to place a damage marker
3. Fill in marker details:
- Damage Type: select from list (Scratch, Dent, Crack, etc.)
- Severity: Minor/Moderate/Major
- Location Description: "Left side panel near exhaust"
- Description: "3cm scratch from parking incident"
- Estimated Cost: 300
4. Upload photo for this marker</x:t>
  </x:si>
  <x:si>
    <x:t>3D model rendered and interactive (rotate, zoom)
Marker placed at clicked location with 3D coordinates
Marker appears in the markers list panel
Marker editor panel shows all fields
Photo associated with specific marker</x:t>
  </x:si>
  <x:si>
    <x:t>TC-2.6</x:t>
  </x:si>
  <x:si>
    <x:t>3D Inspection - Multiple Markers</x:t>
  </x:si>
  <x:si>
    <x:t>1. Place 3 damage markers on different parts of the vehicle
2. Set different types and severities for each</x:t>
  </x:si>
  <x:si>
    <x:t>All markers visible on 3D model
Marker count badge shows 3
Each marker independently editable
Total damage cost = sum of all marker costs</x:t>
  </x:si>
  <x:si>
    <x:t>TC-2.7</x:t>
  </x:si>
  <x:si>
    <x:t>3D Inspection - Pre-Existing Damage</x:t>
  </x:si>
  <x:si>
    <x:t>Vehicle has pre-rental inspection data with damage markers.</x:t>
  </x:si>
  <x:si>
    <x:t>1. Open 3D inspection
2. Observe pre-existing damage markers</x:t>
  </x:si>
  <x:si>
    <x:t>Pre-existing markers shown in different color/style
Pre-existing markers marked as `IsPreExisting = true`
Pre-existing damage costs NOT included in new charges
Clear distinction between old and new damage</x:t>
  </x:si>
  <x:si>
    <x:t>TC-2.8</x:t>
  </x:si>
  <x:si>
    <x:t>3D Inspection Controls</x:t>
  </x:si>
  <x:si>
    <x:t>1. Click "Reset Camera" button
2. Click "Take Snapshot" button
3. Click "Clear All Markers" button</x:t>
  </x:si>
  <x:si>
    <x:t>Reset Camera: Returns to default view angle
Take Snapshot: Captures current 3D view as image
Clear All Markers: Removes all new markers (not pre-existing)</x:t>
  </x:si>
  <x:si>
    <x:t>TC-2.9</x:t>
  </x:si>
  <x:si>
    <x:t>Damage Types - Full List</x:t>
  </x:si>
  <x:si>
    <x:t>1. Place a marker, open the Damage Type selector
2. Verify all types available</x:t>
  </x:si>
  <x:si>
    <x:t>Types: Scratch, Dent, Crack, Scuff, MissingPart, Paint, Rust, Mechanical, Broken, Wear, Other
Each type selectable with appropriate label</x:t>
  </x:si>
  <x:si>
    <x:t>TC-2.10</x:t>
  </x:si>
  <x:si>
    <x:t>Standard Mode - Maximum Cost</x:t>
  </x:si>
  <x:si>
    <x:t>1. Enter Estimated Repair Cost: 100000 (max)
2. Try entering 100001</x:t>
  </x:si>
  <x:si>
    <x:t>100000 accepted
Values above 100000 capped or rejected</x:t>
  </x:si>
  <x:si>
    <x:t>TC-3.1</x:t>
  </x:si>
  <x:si>
    <x:t>Settlement - No Extra Charges</x:t>
  </x:si>
  <x:si>
    <x:t>On-time return, no damage, full fuel, clean, all accessories returned.</x:t>
  </x:si>
  <x:si>
    <x:t>1. Complete Step 1 with no issues
2. Complete Step 2 with No Damage
3. Proceed to Settlement step</x:t>
  </x:si>
  <x:si>
    <x:t>Original rental amount shown (marked as paid)
No extra charges
Deposit held amount displayed
Full deposit refund amount = deposit held
Refund method selector available</x:t>
  </x:si>
  <x:si>
    <x:t>TC-3.2</x:t>
  </x:si>
  <x:si>
    <x:t>Settlement - Extra Days Charge</x:t>
  </x:si>
  <x:si>
    <x:t>Rental returned 2 days late.</x:t>
  </x:si>
  <x:si>
    <x:t>1. Set actual return date to 2 days after expected
2. Proceed to Settlement</x:t>
  </x:si>
  <x:si>
    <x:t>Extra days: 2
Extra charge = 2 x daily rental rate
Extra charge shown in settlement breakdown
Deposit adjusted: refund = deposit - extra charge
If extra charge &gt; deposit: amount to collect shown</x:t>
  </x:si>
  <x:si>
    <x:t>TC-3.3</x:t>
  </x:si>
  <x:si>
    <x:t>Settlement - Extra Hours (Hourly Late Fee Mode)</x:t>
  </x:si>
  <x:si>
    <x:t>Daily rental with late fee mode = "Hourly", returned 5 hours late.</x:t>
  </x:si>
  <x:si>
    <x:t>1. Return daily rental a few hours late
2. Proceed to Settlement</x:t>
  </x:si>
  <x:si>
    <x:t>Extra hours calculated
Charge = extra hours x vehicle's hourly rate
Displayed in settlement breakdown</x:t>
  </x:si>
  <x:si>
    <x:t>TC-3.4</x:t>
  </x:si>
  <x:si>
    <x:t>Settlement - All Charges Combined</x:t>
  </x:si>
  <x:si>
    <x:t>1. Return late (2 extra days)
2. Report moderate damage (cost: 2000)
3. Set fuel to Quarter (surcharge applies)
4. Set cleanliness to Dirty (fee: 100)
5. Report 1 missing accessory (charge: 500)
6. Select drop-off location with out-of-hours fee
7. Proceed to Settlement</x:t>
  </x:si>
  <x:si>
    <x:t>Settlement breakdown shows ALL charges:
Extra days charge: 2 x daily rate
Damage estimate: 2000
Fuel surcharge: calculated from fuel deficit
Cleaning fee: 100
Missing accessory: 500
Drop-off location fee: from service location
Out-of-hours fee: from operating hours
Total additional = sum of all above
Deposit settlement: Deposit held - Total additional
If negative: amount to collect from renter</x:t>
  </x:si>
  <x:si>
    <x:t>TC-3.5</x:t>
  </x:si>
  <x:si>
    <x:t>Settlement - Deposit Covers All Charges</x:t>
  </x:si>
  <x:si>
    <x:t>Deposit &gt; total extra charges.</x:t>
  </x:si>
  <x:si>
    <x:t>1. Configure minor charges totaling less than deposit
2. Review Settlement step</x:t>
  </x:si>
  <x:si>
    <x:t>Refund amount = Deposit held - Total charges
Refund amount shown as positive
Deposit status will be "Refunded"
Refund method selector available</x:t>
  </x:si>
  <x:si>
    <x:t>TC-3.6</x:t>
  </x:si>
  <x:si>
    <x:t>Settlement - Charges Exceed Deposit</x:t>
  </x:si>
  <x:si>
    <x:t>Major damage and extra days exceed deposit amount.</x:t>
  </x:si>
  <x:si>
    <x:t>1. Configure charges totaling more than deposit
2. Review Settlement step</x:t>
  </x:si>
  <x:si>
    <x:t>Amount to collect = Total charges - Deposit held
No refund (deposit forfeited)
Deposit status will be "Forfeited"
Amount to collect shown prominently</x:t>
  </x:si>
  <x:si>
    <x:t>TC-3.7</x:t>
  </x:si>
  <x:si>
    <x:t>Select Refund Method</x:t>
  </x:si>
  <x:si>
    <x:t>1. Reach settlement with refund due
2. Select refund method: Cash
3. Change to Card
4. Change to Bank Transfer</x:t>
  </x:si>
  <x:si>
    <x:t>Three refund methods available: Cash, Card, BankTransfer
Selection stored as RefundMethod</x:t>
  </x:si>
  <x:si>
    <x:t>TC-3.8</x:t>
  </x:si>
  <x:si>
    <x:t>Refund Confirmation Checkbox</x:t>
  </x:si>
  <x:si>
    <x:t>1. Reach settlement with refund due
2. Try to click "Complete" without checking refund confirmation
3. Check the "Refund Processed" checkbox
4. Click "Complete"</x:t>
  </x:si>
  <x:si>
    <x:t>Cannot complete without checking refund confirmation (when refund &gt; 0)
Checkbox required before "Complete" button enables</x:t>
  </x:si>
  <x:si>
    <x:t>TC-3.9</x:t>
  </x:si>
  <x:si>
    <x:t>Maintenance Warning Acknowledgment</x:t>
  </x:si>
  <x:si>
    <x:t>Vehicle has overdue or due-soon maintenance items.</x:t>
  </x:si>
  <x:si>
    <x:t>1. Reach settlement step
2. Observe maintenance warning</x:t>
  </x:si>
  <x:si>
    <x:t>Warning displayed with overdue and due-soon counts
Acknowledgment checkbox required
Cannot complete without acknowledging maintenance warning</x:t>
  </x:si>
  <x:si>
    <x:t>TC-3.10</x:t>
  </x:si>
  <x:si>
    <x:t>Complete Checkout</x:t>
  </x:si>
  <x:si>
    <x:t>1. Fill all required fields across all 3 steps
2. Check refund processed (if applicable)
3. Check maintenance acknowledgment (if applicable)
4. Click "Complete" button</x:t>
  </x:si>
  <x:si>
    <x:t>Processing spinner shown
Rental status changes to "Completed"
Vehicle status changes to "Available"
Deposit status updated (Refunded or Forfeited)
Damage reports created (if any)
Payment records created for:
Additional charges (if any)
Deposit refund (if applicable)
Success confirmation shown</x:t>
  </x:si>
  <x:si>
    <x:t>TC-3.11</x:t>
  </x:si>
  <x:si>
    <x:t>Dynamic Pricing Breakdown</x:t>
  </x:si>
  <x:si>
    <x:t>Rental had dynamic pricing applied at check-in.</x:t>
  </x:si>
  <x:si>
    <x:t>1. Observe settlement summary for a rental with dynamic pricing</x:t>
  </x:si>
  <x:si>
    <x:t>Dynamic pricing breakdown visible in original rental amount section
Shows base vs. adjusted rates</x:t>
  </x:si>
  <x:si>
    <x:t>TC-4.1</x:t>
  </x:si>
  <x:si>
    <x:t>Search Rental</x:t>
  </x:si>
  <x:si>
    <x:t>1. Navigate to `/staff/return`
2. Search by license plate number
3. Clear, search by renter name</x:t>
  </x:si>
  <x:si>
    <x:t>Search results appear for matching rentals
Results show vehicle and renter info</x:t>
  </x:si>
  <x:si>
    <x:t>TC-4.2</x:t>
  </x:si>
  <x:si>
    <x:t>Quick Access - Recent Active Rentals</x:t>
  </x:si>
  <x:si>
    <x:t>1. On mobile return page, observe "Due Today" and "Overdue" sections</x:t>
  </x:si>
  <x:si>
    <x:t>Due today rentals listed for quick access
Overdue rentals listed with days overdue indicator</x:t>
  </x:si>
  <x:si>
    <x:t>TC-4.3</x:t>
  </x:si>
  <x:si>
    <x:t>Return Checklist</x:t>
  </x:si>
  <x:si>
    <x:t>1. Select an active rental
2. Go through the return checklist:
- Check "Bike condition OK"
- Check "Fuel checked"
- Check "Keys returned"
- Check "Helmets returned"
- Check "Accessories returned"</x:t>
  </x:si>
  <x:si>
    <x:t>Each checkbox toggleable
All items must be reviewed</x:t>
  </x:si>
  <x:si>
    <x:t>TC-4.4</x:t>
  </x:si>
  <x:si>
    <x:t>Mobile Return - Report Damage</x:t>
  </x:si>
  <x:si>
    <x:t>1. Uncheck "Bike condition OK"
2. Damage section appears
3. Enter damage notes: "Scratched left handlebar"
4. Enter damage charge: 1000</x:t>
  </x:si>
  <x:si>
    <x:t>Damage fields shown when condition not OK
Damage notes and charge captured
Charge reflected in financial summary</x:t>
  </x:si>
  <x:si>
    <x:t>TC-4.5</x:t>
  </x:si>
  <x:si>
    <x:t>Mobile Return - Financial Summary</x:t>
  </x:si>
  <x:si>
    <x:t>1. Complete the checklist
2. Review financial summary</x:t>
  </x:si>
  <x:si>
    <x:t>Rental cost breakdown displayed
Extra days charges (if overdue)
Damage charges (if reported)
Total due shown
Deposit held shown
Refund or collection amount calculated</x:t>
  </x:si>
  <x:si>
    <x:t>TC-4.6</x:t>
  </x:si>
  <x:si>
    <x:t>Mobile Return - Complete Button Labels</x:t>
  </x:si>
  <x:si>
    <x:t>1. Complete return with refund due, observe button label
2. Complete return with amount to collect, observe button label
3. Complete return with no refund, observe button label</x:t>
  </x:si>
  <x:si>
    <x:t>Button context-aware:
Refund scenario: Shows refund amount
Collection scenario: Shows amount to collect
Even scenario: Shows "no refund" or neutral label</x:t>
  </x:si>
  <x:si>
    <x:t>TC-5.1</x:t>
  </x:si>
  <x:si>
    <x:t>View Damage Reports List</x:t>
  </x:si>
  <x:si>
    <x:t>1. Navigate to `/damage-reports`
2. Observe the list of damage reports</x:t>
  </x:si>
  <x:si>
    <x:t>Reports listed with: RentalId, vehicle info, severity, estimated cost, status
Status badges: Pending, Charged, Waived, InsuranceClaim</x:t>
  </x:si>
  <x:si>
    <x:t>TC-5.2</x:t>
  </x:si>
  <x:si>
    <x:t>Damage Report Status Transitions</x:t>
  </x:si>
  <x:si>
    <x:t>1. Find a "Pending" damage report
2. Change status to "Charged"
3. Find another "Pending" report, change to "Waived"
4. Find another, change to "InsuranceClaim"</x:t>
  </x:si>
  <x:si>
    <x:t>Pending -&gt; Charged: Damage cost deducted from deposit
Pending -&gt; Waived: No charge applied
Pending -&gt; InsuranceClaim: Marked for insurance processing</x:t>
  </x:si>
  <x:si>
    <x:t>TC-5.3</x:t>
  </x:si>
  <x:si>
    <x:t>View Damage Report Details</x:t>
  </x:si>
  <x:si>
    <x:t>1. Click on a damage report
2. View the DamageReportDialog</x:t>
  </x:si>
  <x:si>
    <x:t>Shows: Description, Severity, Estimated Cost, Actual Cost, Status
Photos displayed (if uploaded)
Rental reference linked
Reported date and time shown</x:t>
  </x:si>
  <x:si>
    <x:t>TC-5.4</x:t>
  </x:si>
  <x:si>
    <x:t>Update Actual Repair Cost</x:t>
  </x:si>
  <x:si>
    <x:t>1. Open a damage report
2. Update Actual Cost (different from Estimated Cost)</x:t>
  </x:si>
  <x:si>
    <x:t>Actual cost saved separately from estimate
Both values visible for comparison</x:t>
  </x:si>
  <x:si>
    <x:t>TC-6.1</x:t>
  </x:si>
  <x:si>
    <x:t>Compare Pre and Post Inspection</x:t>
  </x:si>
  <x:si>
    <x:t>Rental with both pre-rental and post-rental inspection.</x:t>
  </x:si>
  <x:si>
    <x:t>1. During checkout, view the pre-existing damage reference
2. Compare with new damage markers</x:t>
  </x:si>
  <x:si>
    <x:t>Pre-rental inspection data loaded for reference
Side-by-side or overlay comparison available (InspectionComparer)
Clear distinction between pre-existing and new damage</x:t>
  </x:si>
  <x:si>
    <x:t>TC-7.1</x:t>
  </x:si>
  <x:si>
    <x:t>Checkout Without Post-Rental Inspection</x:t>
  </x:si>
  <x:si>
    <x:t>1. Skip the inspection on Step 1
2. Try to proceed to damage assessment</x:t>
  </x:si>
  <x:si>
    <x:t>Cannot proceed without recording post-rental inspection
Validation message shown</x:t>
  </x:si>
  <x:si>
    <x:t>Edge</x:t>
  </x:si>
  <x:si>
    <x:t>TC-7.2</x:t>
  </x:si>
  <x:si>
    <x:t>Zero Deposit Rental</x:t>
  </x:si>
  <x:si>
    <x:t>Rental with no deposit collected (Passport hold).</x:t>
  </x:si>
  <x:si>
    <x:t>1. Return vehicle with some damage
2. Observe settlement</x:t>
  </x:si>
  <x:si>
    <x:t>Deposit held = 0 (Passport hold)
Full damage amount shown as "Amount to Collect"
No refund calculation</x:t>
  </x:si>
  <x:si>
    <x:t>TC-7.3</x:t>
  </x:si>
  <x:si>
    <x:t>Checkout Cancelled Rental</x:t>
  </x:si>
  <x:si>
    <x:t>Rental with Status = "Cancelled".</x:t>
  </x:si>
  <x:si>
    <x:t>1. Navigate to `/rentals/checkout/{RentalRef}` for a cancelled rental</x:t>
  </x:si>
  <x:si>
    <x:t>Error or redirect
Cannot checkout a cancelled rental
Only "Active" rentals can be checked out</x:t>
  </x:si>
  <x:si>
    <x:t>TC-7.4</x:t>
  </x:si>
  <x:si>
    <x:t>Double Checkout Attempt</x:t>
  </x:si>
  <x:si>
    <x:t>1. Complete checkout for a rental
2. Navigate back to the same checkout URL</x:t>
  </x:si>
  <x:si>
    <x:t>Error indicating rental already completed
Cannot checkout twice</x:t>
  </x:si>
  <x:si>
    <x:t>TC-7.5</x:t>
  </x:si>
  <x:si>
    <x:t>Missing All Accessories</x:t>
  </x:si>
  <x:si>
    <x:t>Rental with 3 accessories, all missing.</x:t>
  </x:si>
  <x:si>
    <x:t>1. Set all accessory quantities returned to 0
2. Proceed to settlement</x:t>
  </x:si>
  <x:si>
    <x:t>Missing charge = 3 x 500 = 1500
All accessories marked as missing in settlement</x:t>
  </x:si>
  <x:si>
    <x:t>TC-7.6</x:t>
  </x:si>
  <x:si>
    <x:t>Fuel Level Same as Check-In</x:t>
  </x:si>
  <x:si>
    <x:t>1. Set fuel level at return to same as check-in level</x:t>
  </x:si>
  <x:si>
    <x:t>No fuel surcharge applied
Fuel surcharge = 0</x:t>
  </x:si>
  <x:si>
    <x:t>TC-7.7</x:t>
  </x:si>
  <x:si>
    <x:t>Photo Upload - Large File</x:t>
  </x:si>
  <x:si>
    <x:t>1. Try uploading an image file larger than 10MB</x:t>
  </x:si>
  <x:si>
    <x:t>Upload rejected with file size error
Message indicating 10MB limit</x:t>
  </x:si>
  <x:si>
    <x:t>TC-7.8</x:t>
  </x:si>
  <x:si>
    <x:t>3D Inspection - No 3D Model Available</x:t>
  </x:si>
  <x:si>
    <x:t>Vehicle without a GLB 3D model file.</x:t>
  </x:si>
  <x:si>
    <x:t>1. Try to switch to 3D Inspection mode</x:t>
  </x:si>
  <x:si>
    <x:t>3D mode unavailable or greyed out
Falls back to standard inspection only
Clear indication that 3D model not available</x:t>
  </x:si>
  <x:si>
    <x:t>TC-7.9</x:t>
  </x:si>
  <x:si>
    <x:t>Extremely Late Return (30+ days)</x:t>
  </x:si>
  <x:si>
    <x:t>1. Return a rental 30+ days late
2. Review settlement calculation</x:t>
  </x:si>
  <x:si>
    <x:t>Extra days calculated correctly (30+)
Large extra charge amount displayed properly
Settlement math correct even with large numbers</x:t>
  </x:si>
  <x:si>
    <x:t>TC-7.10</x:t>
  </x:si>
  <x:si>
    <x:t>All Fuel Levels - Edge Cases</x:t>
  </x:si>
  <x:si>
    <x:t>1. Test return at Empty (0%) when checked in at Empty (0%)
2. Test return at Full (100%) when checked in at Quarter (25%)</x:t>
  </x:si>
  <x:si>
    <x:t>Same level: No surcharge
Higher level at return than check-in: No surcharge (no credit given)</x:t>
  </x:si>
</x:sst>
</file>

<file path=xl/styles.xml><?xml version="1.0" encoding="utf-8"?>
<x:styleSheet xmlns:x="http://schemas.openxmlformats.org/spreadsheetml/2006/main">
  <x:numFmts count="3">
    <x:numFmt numFmtId="0" formatCode=""/>
    <x:numFmt numFmtId="164" formatCode="0%"/>
    <x:numFmt numFmtId="165" formatCode="yyyy-mm-dd"/>
  </x:numFmts>
  <x:fonts count="5">
    <x:font>
      <x:vertAlign val="baseline"/>
      <x:sz val="11"/>
      <x:color rgb="FF000000"/>
      <x:name val="Calibri"/>
      <x:family val="2"/>
    </x:font>
    <x:font>
      <x:b/>
      <x:vertAlign val="baseline"/>
      <x:sz val="16"/>
      <x:color rgb="FF000000"/>
      <x:name val="Calibri"/>
      <x:family val="2"/>
    </x:font>
    <x:font>
      <x:b/>
      <x:vertAlign val="baseline"/>
      <x:sz val="11"/>
      <x:color rgb="FF000000"/>
      <x:name val="Calibri"/>
      <x:family val="2"/>
    </x:font>
    <x:font>
      <x:b/>
      <x:vertAlign val="baseline"/>
      <x:sz val="12"/>
      <x:color rgb="FF000000"/>
      <x:name val="Calibri"/>
      <x:family val="2"/>
    </x:font>
    <x:font>
      <x:b/>
      <x:vertAlign val="baseline"/>
      <x:sz val="11"/>
      <x:color rgb="FFFFFFFF"/>
      <x:name val="Calibri"/>
      <x:family val="2"/>
    </x:font>
  </x:fonts>
  <x:fills count="6">
    <x:fill>
      <x:patternFill patternType="none"/>
    </x:fill>
    <x:fill>
      <x:patternFill patternType="gray125"/>
    </x:fill>
    <x:fill>
      <x:patternFill patternType="solid">
        <x:fgColor rgb="FF206BC4"/>
      </x:patternFill>
    </x:fill>
    <x:fill>
      <x:patternFill patternType="solid">
        <x:fgColor rgb="FFF4F6FA"/>
      </x:patternFill>
    </x:fill>
    <x:fill>
      <x:patternFill patternType="solid">
        <x:fgColor rgb="FFE6ECF5"/>
      </x:patternFill>
    </x:fill>
    <x:fill>
      <x:patternFill patternType="solid">
        <x:fgColor rgb="FFF8F9FC"/>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DEE2E6"/>
      </x:left>
      <x:right style="thin">
        <x:color rgb="FFDEE2E6"/>
      </x:right>
      <x:top style="thin">
        <x:color rgb="FFDEE2E6"/>
      </x:top>
      <x:bottom style="thin">
        <x:color rgb="FFDEE2E6"/>
      </x:bottom>
      <x:diagonal style="none">
        <x:color rgb="FF000000"/>
      </x:diagonal>
    </x:border>
  </x:borders>
  <x:cellStyleXfs count="15">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2" borderId="1" applyNumberFormat="1" applyFill="0" applyBorder="1" applyAlignment="1" applyProtection="1">
      <x:protection locked="1" hidden="0"/>
    </x:xf>
    <x:xf numFmtId="0" fontId="0" fillId="0" borderId="1" applyNumberFormat="1" applyFill="1" applyBorder="1" applyAlignment="1" applyProtection="1">
      <x:protection locked="1" hidden="0"/>
    </x:xf>
    <x:xf numFmtId="164" fontId="0" fillId="0" borderId="1" applyNumberFormat="1" applyFill="1" applyBorder="1" applyAlignment="1" applyProtection="1">
      <x:protection locked="1" hidden="0"/>
    </x:xf>
    <x:xf numFmtId="0" fontId="0" fillId="3" borderId="1" applyNumberFormat="1" applyFill="0" applyBorder="1" applyAlignment="1" applyProtection="1">
      <x:protection locked="1" hidden="0"/>
    </x:xf>
    <x:xf numFmtId="164" fontId="0" fillId="3" borderId="1" applyNumberFormat="1" applyFill="0" applyBorder="1" applyAlignment="1" applyProtection="1">
      <x:protection locked="1" hidden="0"/>
    </x:xf>
    <x:xf numFmtId="0" fontId="2" fillId="4" borderId="1" applyNumberFormat="1" applyFill="0" applyBorder="1" applyAlignment="1" applyProtection="1">
      <x:protection locked="1" hidden="0"/>
    </x:xf>
    <x:xf numFmtId="164" fontId="2" fillId="4" borderId="1" applyNumberFormat="1" applyFill="0" applyBorder="1" applyAlignment="1" applyProtection="1">
      <x:protection locked="1" hidden="0"/>
    </x:xf>
    <x:xf numFmtId="0" fontId="0" fillId="0" borderId="2" applyNumberFormat="1" applyFill="1" applyBorder="1" applyAlignment="1" applyProtection="1">
      <x:protection locked="1" hidden="0"/>
    </x:xf>
    <x:xf numFmtId="165" fontId="0" fillId="0" borderId="2" applyNumberFormat="1" applyFill="1" applyBorder="1" applyAlignment="1" applyProtection="1">
      <x:protection locked="1" hidden="0"/>
    </x:xf>
    <x:xf numFmtId="0" fontId="0" fillId="5" borderId="2" applyNumberFormat="1" applyFill="0" applyBorder="1" applyAlignment="1" applyProtection="1">
      <x:protection locked="1" hidden="0"/>
    </x:xf>
    <x:xf numFmtId="165" fontId="0" fillId="5" borderId="2" applyNumberFormat="1" applyFill="0" applyBorder="1" applyAlignment="1" applyProtection="1">
      <x:protection locked="1" hidden="0"/>
    </x:xf>
  </x:cellStyleXfs>
  <x:cellXfs count="1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3" borderId="1"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2"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164" fontId="2"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0"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1" hidden="0"/>
    </x:xf>
    <x:xf numFmtId="165" fontId="0" fillId="0" borderId="2" xfId="0" applyNumberFormat="1" applyFill="1" applyBorder="1" applyAlignment="1" applyProtection="1">
      <x:alignment horizontal="general" vertical="top" textRotation="0" wrapText="0" indent="0" relativeIndent="0" justifyLastLine="0" shrinkToFit="0" readingOrder="0"/>
      <x:protection locked="1" hidden="0"/>
    </x:xf>
    <x:xf numFmtId="0" fontId="0" fillId="5" borderId="2" xfId="0" applyNumberFormat="1" applyFill="0" applyBorder="1" applyAlignment="1" applyProtection="1">
      <x:alignment horizontal="general" vertical="top" textRotation="0" wrapText="0" indent="0" relativeIndent="0" justifyLastLine="0" shrinkToFit="0" readingOrder="0"/>
      <x:protection locked="1" hidden="0"/>
    </x:xf>
    <x:xf numFmtId="0" fontId="0" fillId="5" borderId="2" xfId="0" applyNumberFormat="1" applyFill="0" applyBorder="1" applyAlignment="1" applyProtection="1">
      <x:alignment horizontal="general" vertical="top" textRotation="0" wrapText="1" indent="0" relativeIndent="0" justifyLastLine="0" shrinkToFit="0" readingOrder="0"/>
      <x:protection locked="1" hidden="0"/>
    </x:xf>
    <x:xf numFmtId="165" fontId="0" fillId="5" borderId="2" xfId="0" applyNumberFormat="1" applyFill="0" applyBorder="1" applyAlignment="1" applyProtection="1">
      <x:alignment horizontal="general" vertical="top" textRotation="0" wrapText="0" indent="0" relativeIndent="0" justifyLastLine="0" shrinkToFit="0" readingOrder="0"/>
      <x:protection locked="1" hidden="0"/>
    </x:xf>
  </x:cellXfs>
  <x:cellStyles count="1">
    <x:cellStyle name="Normal" xfId="0" builtinId="0"/>
  </x:cellStyles>
  <x:dxfs count="9">
    <x:dxf>
      <x:fill>
        <x:patternFill patternType="solid">
          <x:fgColor auto="1"/>
          <x:bgColor rgb="FFD5F0D5"/>
        </x:patternFill>
      </x:fill>
    </x:dxf>
    <x:dxf>
      <x:fill>
        <x:patternFill patternType="solid">
          <x:fgColor auto="1"/>
          <x:bgColor rgb="FFFFF3CD"/>
        </x:patternFill>
      </x:fill>
    </x:dxf>
    <x:dxf>
      <x:fill>
        <x:patternFill patternType="solid">
          <x:fgColor auto="1"/>
          <x:bgColor rgb="FFF8D7DA"/>
        </x:patternFill>
      </x:fill>
    </x:dxf>
    <x:dxf>
      <x:font>
        <x:color rgb="FF1A7A1A"/>
      </x:font>
      <x:fill>
        <x:patternFill patternType="solid">
          <x:fgColor auto="1"/>
          <x:bgColor rgb="FFD5F0D5"/>
        </x:patternFill>
      </x:fill>
    </x:dxf>
    <x:dxf>
      <x:font>
        <x:color rgb="FF842029"/>
      </x:font>
      <x:fill>
        <x:patternFill patternType="solid">
          <x:fgColor auto="1"/>
          <x:bgColor rgb="FFF8D7DA"/>
        </x:patternFill>
      </x:fill>
    </x:dxf>
    <x:dxf>
      <x:font>
        <x:color rgb="FF664D03"/>
      </x:font>
      <x:fill>
        <x:patternFill patternType="solid">
          <x:fgColor auto="1"/>
          <x:bgColor rgb="FFFFF3CD"/>
        </x:patternFill>
      </x:fill>
    </x:dxf>
    <x:dxf>
      <x:font>
        <x:color rgb="FF41464B"/>
      </x:font>
      <x:fill>
        <x:patternFill patternType="solid">
          <x:fgColor auto="1"/>
          <x:bgColor rgb="FFE2E3E5"/>
        </x:patternFill>
      </x:fill>
    </x:dxf>
    <x:dxf>
      <x:fill>
        <x:patternFill patternType="solid">
          <x:fgColor auto="1"/>
          <x:bgColor rgb="FFCFE2FF"/>
        </x:patternFill>
      </x:fill>
    </x:dxf>
    <x:dxf>
      <x:fill>
        <x:patternFill patternType="solid">
          <x:fgColor auto="1"/>
          <x:bgColor rgb="FFE2E3E5"/>
        </x:patternFill>
      </x:fill>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calcChain" Target="/xl/calcChain.xml" Id="rId6"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8"/>
  <x:sheetViews>
    <x:sheetView workbookViewId="0">
      <x:pane xSplit="0" ySplit="20" topLeftCell="A21" activePane="bottomLeft" state="frozenSplit"/>
    </x:sheetView>
  </x:sheetViews>
  <x:sheetFormatPr defaultRowHeight="15"/>
  <x:cols>
    <x:col min="1" max="1" width="40.710625" style="0" customWidth="1"/>
    <x:col min="2" max="5" width="10.710625" style="0" customWidth="1"/>
    <x:col min="6" max="7" width="12.710625" style="0" customWidth="1"/>
  </x:cols>
  <x:sheetData>
    <x:row r="1" spans="1:7">
      <x:c r="A1" s="1" t="s">
        <x:v>0</x:v>
      </x:c>
    </x:row>
    <x:row r="3" spans="1:7">
      <x:c r="A3" s="2" t="s">
        <x:v>1</x:v>
      </x:c>
      <x:c r="B3" s="0" t="s">
        <x:v>2</x:v>
      </x:c>
    </x:row>
    <x:row r="4" spans="1:7">
      <x:c r="A4" s="2" t="s">
        <x:v>3</x:v>
      </x:c>
      <x:c r="B4" s="0" t="s">
        <x:v>4</x:v>
      </x:c>
    </x:row>
    <x:row r="5" spans="1:7">
      <x:c r="A5" s="2" t="s">
        <x:v>5</x:v>
      </x:c>
      <x:c r="B5" s="0" t="s">
        <x:v>6</x:v>
      </x:c>
    </x:row>
    <x:row r="7" spans="1:7">
      <x:c r="A7" s="3" t="s">
        <x:v>7</x:v>
      </x:c>
    </x:row>
    <x:row r="8" spans="1:7">
      <x:c r="A8" s="0" t="s">
        <x:v>8</x:v>
      </x:c>
      <x:c r="B8" s="0" t="s">
        <x:v>9</x:v>
      </x:c>
    </x:row>
    <x:row r="9" spans="1:7">
      <x:c r="A9" s="0" t="s">
        <x:v>8</x:v>
      </x:c>
      <x:c r="B9" s="0" t="s">
        <x:v>10</x:v>
      </x:c>
    </x:row>
    <x:row r="10" spans="1:7">
      <x:c r="A10" s="0" t="s">
        <x:v>8</x:v>
      </x:c>
      <x:c r="B10" s="0" t="s">
        <x:v>11</x:v>
      </x:c>
    </x:row>
    <x:row r="11" spans="1:7">
      <x:c r="A11" s="0" t="s">
        <x:v>8</x:v>
      </x:c>
      <x:c r="B11" s="0" t="s">
        <x:v>12</x:v>
      </x:c>
    </x:row>
    <x:row r="12" spans="1:7">
      <x:c r="A12" s="0" t="s">
        <x:v>8</x:v>
      </x:c>
      <x:c r="B12" s="0" t="s">
        <x:v>13</x:v>
      </x:c>
    </x:row>
    <x:row r="13" spans="1:7">
      <x:c r="A13" s="0" t="s">
        <x:v>8</x:v>
      </x:c>
      <x:c r="B13" s="0" t="s">
        <x:v>14</x:v>
      </x:c>
    </x:row>
    <x:row r="14" spans="1:7">
      <x:c r="A14" s="0" t="s">
        <x:v>8</x:v>
      </x:c>
      <x:c r="B14" s="0" t="s">
        <x:v>15</x:v>
      </x:c>
    </x:row>
    <x:row r="15" spans="1:7">
      <x:c r="A15" s="0" t="s">
        <x:v>8</x:v>
      </x:c>
      <x:c r="B15" s="0" t="s">
        <x:v>16</x:v>
      </x:c>
    </x:row>
    <x:row r="16" spans="1:7">
      <x:c r="A16" s="0" t="s">
        <x:v>8</x:v>
      </x:c>
      <x:c r="B16" s="0" t="s">
        <x:v>17</x:v>
      </x:c>
    </x:row>
    <x:row r="17" spans="1:7">
      <x:c r="A17" s="0" t="s">
        <x:v>8</x:v>
      </x:c>
      <x:c r="B17" s="0" t="s">
        <x:v>18</x:v>
      </x:c>
    </x:row>
    <x:row r="19" spans="1:7">
      <x:c r="A19" s="3" t="s">
        <x:v>19</x:v>
      </x:c>
    </x:row>
    <x:row r="20" spans="1:7">
      <x:c r="A20" s="4" t="s">
        <x:v>20</x:v>
      </x:c>
      <x:c r="B20" s="4" t="s">
        <x:v>21</x:v>
      </x:c>
      <x:c r="C20" s="4" t="s">
        <x:v>22</x:v>
      </x:c>
      <x:c r="D20" s="4" t="s">
        <x:v>23</x:v>
      </x:c>
      <x:c r="E20" s="4" t="s">
        <x:v>24</x:v>
      </x:c>
      <x:c r="F20" s="4" t="s">
        <x:v>25</x:v>
      </x:c>
      <x:c r="G20" s="4" t="s">
        <x:v>26</x:v>
      </x:c>
    </x:row>
    <x:row r="21" spans="1:7">
      <x:c r="A21" s="5" t="s">
        <x:v>27</x:v>
      </x:c>
      <x:c r="B21" s="5">
        <x:v>14</x:v>
      </x:c>
      <x:c r="C21" s="5">
        <x:f>COUNTIFS('Test Cases'!B:B,"Return Information - Step 1 (CheckOut.razor)",'Test Cases'!G:G,"Pass")</x:f>
      </x:c>
      <x:c r="D21" s="5">
        <x:f>COUNTIFS('Test Cases'!B:B,"Return Information - Step 1 (CheckOut.razor)",'Test Cases'!G:G,"Fail")</x:f>
      </x:c>
      <x:c r="E21" s="5">
        <x:f>COUNTIFS('Test Cases'!B:B,"Return Information - Step 1 (CheckOut.razor)",'Test Cases'!G:G,"Blocked")</x:f>
      </x:c>
      <x:c r="F21" s="5">
        <x:f>COUNTIFS('Test Cases'!B:B,"Return Information - Step 1 (CheckOut.razor)",'Test Cases'!G:G,"Not Tested")</x:f>
      </x:c>
      <x:c r="G21" s="6">
        <x:f>IF(B21=0,0,(COUNTIFS('Test Cases'!B:B,"Return Information - Step 1 (CheckOut.razor)",'Test Cases'!G:G,"&lt;&gt;Not Tested")/B21))</x:f>
      </x:c>
    </x:row>
    <x:row r="22" spans="1:7">
      <x:c r="A22" s="7" t="s">
        <x:v>28</x:v>
      </x:c>
      <x:c r="B22" s="7">
        <x:v>10</x:v>
      </x:c>
      <x:c r="C22" s="7">
        <x:f>COUNTIFS('Test Cases'!B:B,"Damage Assessment - Step 2",'Test Cases'!G:G,"Pass")</x:f>
      </x:c>
      <x:c r="D22" s="7">
        <x:f>COUNTIFS('Test Cases'!B:B,"Damage Assessment - Step 2",'Test Cases'!G:G,"Fail")</x:f>
      </x:c>
      <x:c r="E22" s="7">
        <x:f>COUNTIFS('Test Cases'!B:B,"Damage Assessment - Step 2",'Test Cases'!G:G,"Blocked")</x:f>
      </x:c>
      <x:c r="F22" s="7">
        <x:f>COUNTIFS('Test Cases'!B:B,"Damage Assessment - Step 2",'Test Cases'!G:G,"Not Tested")</x:f>
      </x:c>
      <x:c r="G22" s="8">
        <x:f>IF(B22=0,0,(COUNTIFS('Test Cases'!B:B,"Damage Assessment - Step 2",'Test Cases'!G:G,"&lt;&gt;Not Tested")/B22))</x:f>
      </x:c>
    </x:row>
    <x:row r="23" spans="1:7">
      <x:c r="A23" s="5" t="s">
        <x:v>29</x:v>
      </x:c>
      <x:c r="B23" s="5">
        <x:v>11</x:v>
      </x:c>
      <x:c r="C23" s="5">
        <x:f>COUNTIFS('Test Cases'!B:B,"Settlement - Step 3",'Test Cases'!G:G,"Pass")</x:f>
      </x:c>
      <x:c r="D23" s="5">
        <x:f>COUNTIFS('Test Cases'!B:B,"Settlement - Step 3",'Test Cases'!G:G,"Fail")</x:f>
      </x:c>
      <x:c r="E23" s="5">
        <x:f>COUNTIFS('Test Cases'!B:B,"Settlement - Step 3",'Test Cases'!G:G,"Blocked")</x:f>
      </x:c>
      <x:c r="F23" s="5">
        <x:f>COUNTIFS('Test Cases'!B:B,"Settlement - Step 3",'Test Cases'!G:G,"Not Tested")</x:f>
      </x:c>
      <x:c r="G23" s="6">
        <x:f>IF(B23=0,0,(COUNTIFS('Test Cases'!B:B,"Settlement - Step 3",'Test Cases'!G:G,"&lt;&gt;Not Tested")/B23))</x:f>
      </x:c>
    </x:row>
    <x:row r="24" spans="1:7">
      <x:c r="A24" s="7" t="s">
        <x:v>30</x:v>
      </x:c>
      <x:c r="B24" s="7">
        <x:v>6</x:v>
      </x:c>
      <x:c r="C24" s="7">
        <x:f>COUNTIFS('Test Cases'!B:B,"Mobile Return",'Test Cases'!G:G,"Pass")</x:f>
      </x:c>
      <x:c r="D24" s="7">
        <x:f>COUNTIFS('Test Cases'!B:B,"Mobile Return",'Test Cases'!G:G,"Fail")</x:f>
      </x:c>
      <x:c r="E24" s="7">
        <x:f>COUNTIFS('Test Cases'!B:B,"Mobile Return",'Test Cases'!G:G,"Blocked")</x:f>
      </x:c>
      <x:c r="F24" s="7">
        <x:f>COUNTIFS('Test Cases'!B:B,"Mobile Return",'Test Cases'!G:G,"Not Tested")</x:f>
      </x:c>
      <x:c r="G24" s="8">
        <x:f>IF(B24=0,0,(COUNTIFS('Test Cases'!B:B,"Mobile Return",'Test Cases'!G:G,"&lt;&gt;Not Tested")/B24))</x:f>
      </x:c>
    </x:row>
    <x:row r="25" spans="1:7">
      <x:c r="A25" s="5" t="s">
        <x:v>31</x:v>
      </x:c>
      <x:c r="B25" s="5">
        <x:v>4</x:v>
      </x:c>
      <x:c r="C25" s="5">
        <x:f>COUNTIFS('Test Cases'!B:B,"Damage Reports",'Test Cases'!G:G,"Pass")</x:f>
      </x:c>
      <x:c r="D25" s="5">
        <x:f>COUNTIFS('Test Cases'!B:B,"Damage Reports",'Test Cases'!G:G,"Fail")</x:f>
      </x:c>
      <x:c r="E25" s="5">
        <x:f>COUNTIFS('Test Cases'!B:B,"Damage Reports",'Test Cases'!G:G,"Blocked")</x:f>
      </x:c>
      <x:c r="F25" s="5">
        <x:f>COUNTIFS('Test Cases'!B:B,"Damage Reports",'Test Cases'!G:G,"Not Tested")</x:f>
      </x:c>
      <x:c r="G25" s="6">
        <x:f>IF(B25=0,0,(COUNTIFS('Test Cases'!B:B,"Damage Reports",'Test Cases'!G:G,"&lt;&gt;Not Tested")/B25))</x:f>
      </x:c>
    </x:row>
    <x:row r="26" spans="1:7">
      <x:c r="A26" s="7" t="s">
        <x:v>32</x:v>
      </x:c>
      <x:c r="B26" s="7">
        <x:v>1</x:v>
      </x:c>
      <x:c r="C26" s="7">
        <x:f>COUNTIFS('Test Cases'!B:B,"Inspection Comparison",'Test Cases'!G:G,"Pass")</x:f>
      </x:c>
      <x:c r="D26" s="7">
        <x:f>COUNTIFS('Test Cases'!B:B,"Inspection Comparison",'Test Cases'!G:G,"Fail")</x:f>
      </x:c>
      <x:c r="E26" s="7">
        <x:f>COUNTIFS('Test Cases'!B:B,"Inspection Comparison",'Test Cases'!G:G,"Blocked")</x:f>
      </x:c>
      <x:c r="F26" s="7">
        <x:f>COUNTIFS('Test Cases'!B:B,"Inspection Comparison",'Test Cases'!G:G,"Not Tested")</x:f>
      </x:c>
      <x:c r="G26" s="8">
        <x:f>IF(B26=0,0,(COUNTIFS('Test Cases'!B:B,"Inspection Comparison",'Test Cases'!G:G,"&lt;&gt;Not Tested")/B26))</x:f>
      </x:c>
    </x:row>
    <x:row r="27" spans="1:7">
      <x:c r="A27" s="5" t="s">
        <x:v>33</x:v>
      </x:c>
      <x:c r="B27" s="5">
        <x:v>10</x:v>
      </x:c>
      <x:c r="C27" s="5">
        <x:f>COUNTIFS('Test Cases'!B:B,"Edge Cases &amp; Error Scenarios",'Test Cases'!G:G,"Pass")</x:f>
      </x:c>
      <x:c r="D27" s="5">
        <x:f>COUNTIFS('Test Cases'!B:B,"Edge Cases &amp; Error Scenarios",'Test Cases'!G:G,"Fail")</x:f>
      </x:c>
      <x:c r="E27" s="5">
        <x:f>COUNTIFS('Test Cases'!B:B,"Edge Cases &amp; Error Scenarios",'Test Cases'!G:G,"Blocked")</x:f>
      </x:c>
      <x:c r="F27" s="5">
        <x:f>COUNTIFS('Test Cases'!B:B,"Edge Cases &amp; Error Scenarios",'Test Cases'!G:G,"Not Tested")</x:f>
      </x:c>
      <x:c r="G27" s="6">
        <x:f>IF(B27=0,0,(COUNTIFS('Test Cases'!B:B,"Edge Cases &amp; Error Scenarios",'Test Cases'!G:G,"&lt;&gt;Not Tested")/B27))</x:f>
      </x:c>
    </x:row>
    <x:row r="28" spans="1:7">
      <x:c r="A28" s="9" t="s">
        <x:v>34</x:v>
      </x:c>
      <x:c r="B28" s="9">
        <x:f>SUM(B21:B27)</x:f>
      </x:c>
      <x:c r="C28" s="9">
        <x:f>SUM(C21:C27)</x:f>
      </x:c>
      <x:c r="D28" s="9">
        <x:f>SUM(D21:D27)</x:f>
      </x:c>
      <x:c r="E28" s="9">
        <x:f>SUM(E21:E27)</x:f>
      </x:c>
      <x:c r="F28" s="9">
        <x:f>SUM(F21:F27)</x:f>
      </x:c>
      <x:c r="G28" s="10">
        <x:f>IF(B28=0,0,(B28-F28)/B28)</x:f>
      </x:c>
    </x:row>
  </x:sheetData>
  <x:mergeCells count="14">
    <x:mergeCell ref="A1:G1"/>
    <x:mergeCell ref="B3:G3"/>
    <x:mergeCell ref="B4:G4"/>
    <x:mergeCell ref="B5:G5"/>
    <x:mergeCell ref="B8:G8"/>
    <x:mergeCell ref="B9:G9"/>
    <x:mergeCell ref="B10:G10"/>
    <x:mergeCell ref="B11:G11"/>
    <x:mergeCell ref="B12:G12"/>
    <x:mergeCell ref="B13:G13"/>
    <x:mergeCell ref="B14:G14"/>
    <x:mergeCell ref="B15:G15"/>
    <x:mergeCell ref="B16:G16"/>
    <x:mergeCell ref="B17:G17"/>
  </x:mergeCells>
  <x:conditionalFormatting sqref="G21:G28">
    <x:cfRule type="cellIs" dxfId="0" priority="1" operator="greaterThanOrEqual">
      <x:formula>0.8</x:formula>
    </x:cfRule>
    <x:cfRule type="cellIs" dxfId="1" priority="2" operator="between">
      <x:formula>0.5</x:formula>
      <x:formula>0.79</x:formula>
    </x:cfRule>
    <x:cfRule type="cellIs" dxfId="2" priority="3" operator="lessThan">
      <x:formula>0.5</x:formula>
    </x:cfRule>
  </x:conditionalFormatting>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7"/>
  <x:sheetViews>
    <x:sheetView workbookViewId="0">
      <x:pane xSplit="0" ySplit="1" topLeftCell="A2" activePane="bottomLeft" state="frozenSplit"/>
    </x:sheetView>
  </x:sheetViews>
  <x:sheetFormatPr defaultRowHeight="15"/>
  <x:cols>
    <x:col min="1" max="1" width="10.710625" style="0" customWidth="1"/>
    <x:col min="2" max="2" width="30.710625" style="0" customWidth="1"/>
    <x:col min="3" max="4" width="40.710625" style="0" customWidth="1"/>
    <x:col min="5" max="6" width="60.710625" style="0" customWidth="1"/>
    <x:col min="7" max="7" width="14.710625" style="0" customWidth="1"/>
    <x:col min="8" max="8" width="15.710625" style="0" customWidth="1"/>
    <x:col min="9" max="9" width="12.710625" style="0" customWidth="1"/>
    <x:col min="10" max="10" width="40.710625" style="0" customWidth="1"/>
    <x:col min="11" max="11" width="10.710625" style="0" customWidth="1"/>
  </x:cols>
  <x:sheetData>
    <x:row r="1" spans="1:11">
      <x:c r="A1" s="11" t="s">
        <x:v>35</x:v>
      </x:c>
      <x:c r="B1" s="11" t="s">
        <x:v>20</x:v>
      </x:c>
      <x:c r="C1" s="11" t="s">
        <x:v>36</x:v>
      </x:c>
      <x:c r="D1" s="11" t="s">
        <x:v>37</x:v>
      </x:c>
      <x:c r="E1" s="11" t="s">
        <x:v>38</x:v>
      </x:c>
      <x:c r="F1" s="11" t="s">
        <x:v>39</x:v>
      </x:c>
      <x:c r="G1" s="11" t="s">
        <x:v>40</x:v>
      </x:c>
      <x:c r="H1" s="11" t="s">
        <x:v>41</x:v>
      </x:c>
      <x:c r="I1" s="11" t="s">
        <x:v>42</x:v>
      </x:c>
      <x:c r="J1" s="11" t="s">
        <x:v>43</x:v>
      </x:c>
      <x:c r="K1" s="11" t="s">
        <x:v>44</x:v>
      </x:c>
    </x:row>
    <x:row r="2" spans="1:11">
      <x:c r="A2" s="12" t="s">
        <x:v>45</x:v>
      </x:c>
      <x:c r="B2" s="12" t="s">
        <x:v>27</x:v>
      </x:c>
      <x:c r="C2" s="12" t="s">
        <x:v>46</x:v>
      </x:c>
      <x:c r="D2" s="13" t="s">
        <x:v>47</x:v>
      </x:c>
      <x:c r="E2" s="13" t="s">
        <x:v>48</x:v>
      </x:c>
      <x:c r="F2" s="13" t="s">
        <x:v>49</x:v>
      </x:c>
      <x:c r="G2" s="12" t="s">
        <x:v>25</x:v>
      </x:c>
      <x:c r="H2" s="12" t="s">
        <x:v>47</x:v>
      </x:c>
      <x:c r="I2" s="14" t="s">
        <x:v>47</x:v>
      </x:c>
      <x:c r="J2" s="12" t="s">
        <x:v>47</x:v>
      </x:c>
      <x:c r="K2" s="12" t="s">
        <x:v>50</x:v>
      </x:c>
    </x:row>
    <x:row r="3" spans="1:11">
      <x:c r="A3" s="15" t="s">
        <x:v>51</x:v>
      </x:c>
      <x:c r="B3" s="15" t="s">
        <x:v>27</x:v>
      </x:c>
      <x:c r="C3" s="15" t="s">
        <x:v>52</x:v>
      </x:c>
      <x:c r="D3" s="16" t="s">
        <x:v>47</x:v>
      </x:c>
      <x:c r="E3" s="16" t="s">
        <x:v>53</x:v>
      </x:c>
      <x:c r="F3" s="16" t="s">
        <x:v>54</x:v>
      </x:c>
      <x:c r="G3" s="15" t="s">
        <x:v>25</x:v>
      </x:c>
      <x:c r="H3" s="15" t="s">
        <x:v>47</x:v>
      </x:c>
      <x:c r="I3" s="17" t="s">
        <x:v>47</x:v>
      </x:c>
      <x:c r="J3" s="15" t="s">
        <x:v>47</x:v>
      </x:c>
      <x:c r="K3" s="15" t="s">
        <x:v>50</x:v>
      </x:c>
    </x:row>
    <x:row r="4" spans="1:11">
      <x:c r="A4" s="12" t="s">
        <x:v>55</x:v>
      </x:c>
      <x:c r="B4" s="12" t="s">
        <x:v>27</x:v>
      </x:c>
      <x:c r="C4" s="12" t="s">
        <x:v>56</x:v>
      </x:c>
      <x:c r="D4" s="13" t="s">
        <x:v>47</x:v>
      </x:c>
      <x:c r="E4" s="13" t="s">
        <x:v>57</x:v>
      </x:c>
      <x:c r="F4" s="13" t="s">
        <x:v>58</x:v>
      </x:c>
      <x:c r="G4" s="12" t="s">
        <x:v>25</x:v>
      </x:c>
      <x:c r="H4" s="12" t="s">
        <x:v>47</x:v>
      </x:c>
      <x:c r="I4" s="14" t="s">
        <x:v>47</x:v>
      </x:c>
      <x:c r="J4" s="12" t="s">
        <x:v>47</x:v>
      </x:c>
      <x:c r="K4" s="12" t="s">
        <x:v>50</x:v>
      </x:c>
    </x:row>
    <x:row r="5" spans="1:11">
      <x:c r="A5" s="15" t="s">
        <x:v>59</x:v>
      </x:c>
      <x:c r="B5" s="15" t="s">
        <x:v>27</x:v>
      </x:c>
      <x:c r="C5" s="15" t="s">
        <x:v>60</x:v>
      </x:c>
      <x:c r="D5" s="16" t="s">
        <x:v>61</x:v>
      </x:c>
      <x:c r="E5" s="16" t="s">
        <x:v>62</x:v>
      </x:c>
      <x:c r="F5" s="16" t="s">
        <x:v>63</x:v>
      </x:c>
      <x:c r="G5" s="15" t="s">
        <x:v>25</x:v>
      </x:c>
      <x:c r="H5" s="15" t="s">
        <x:v>47</x:v>
      </x:c>
      <x:c r="I5" s="17" t="s">
        <x:v>47</x:v>
      </x:c>
      <x:c r="J5" s="15" t="s">
        <x:v>47</x:v>
      </x:c>
      <x:c r="K5" s="15" t="s">
        <x:v>50</x:v>
      </x:c>
    </x:row>
    <x:row r="6" spans="1:11">
      <x:c r="A6" s="12" t="s">
        <x:v>64</x:v>
      </x:c>
      <x:c r="B6" s="12" t="s">
        <x:v>27</x:v>
      </x:c>
      <x:c r="C6" s="12" t="s">
        <x:v>65</x:v>
      </x:c>
      <x:c r="D6" s="13" t="s">
        <x:v>66</x:v>
      </x:c>
      <x:c r="E6" s="13" t="s">
        <x:v>67</x:v>
      </x:c>
      <x:c r="F6" s="13" t="s">
        <x:v>68</x:v>
      </x:c>
      <x:c r="G6" s="12" t="s">
        <x:v>25</x:v>
      </x:c>
      <x:c r="H6" s="12" t="s">
        <x:v>47</x:v>
      </x:c>
      <x:c r="I6" s="14" t="s">
        <x:v>47</x:v>
      </x:c>
      <x:c r="J6" s="12" t="s">
        <x:v>47</x:v>
      </x:c>
      <x:c r="K6" s="12" t="s">
        <x:v>50</x:v>
      </x:c>
    </x:row>
    <x:row r="7" spans="1:11">
      <x:c r="A7" s="15" t="s">
        <x:v>69</x:v>
      </x:c>
      <x:c r="B7" s="15" t="s">
        <x:v>27</x:v>
      </x:c>
      <x:c r="C7" s="15" t="s">
        <x:v>70</x:v>
      </x:c>
      <x:c r="D7" s="16" t="s">
        <x:v>71</x:v>
      </x:c>
      <x:c r="E7" s="16" t="s">
        <x:v>72</x:v>
      </x:c>
      <x:c r="F7" s="16" t="s">
        <x:v>73</x:v>
      </x:c>
      <x:c r="G7" s="15" t="s">
        <x:v>25</x:v>
      </x:c>
      <x:c r="H7" s="15" t="s">
        <x:v>47</x:v>
      </x:c>
      <x:c r="I7" s="17" t="s">
        <x:v>47</x:v>
      </x:c>
      <x:c r="J7" s="15" t="s">
        <x:v>47</x:v>
      </x:c>
      <x:c r="K7" s="15" t="s">
        <x:v>50</x:v>
      </x:c>
    </x:row>
    <x:row r="8" spans="1:11">
      <x:c r="A8" s="12" t="s">
        <x:v>74</x:v>
      </x:c>
      <x:c r="B8" s="12" t="s">
        <x:v>27</x:v>
      </x:c>
      <x:c r="C8" s="12" t="s">
        <x:v>75</x:v>
      </x:c>
      <x:c r="D8" s="13" t="s">
        <x:v>76</x:v>
      </x:c>
      <x:c r="E8" s="13" t="s">
        <x:v>77</x:v>
      </x:c>
      <x:c r="F8" s="13" t="s">
        <x:v>78</x:v>
      </x:c>
      <x:c r="G8" s="12" t="s">
        <x:v>25</x:v>
      </x:c>
      <x:c r="H8" s="12" t="s">
        <x:v>47</x:v>
      </x:c>
      <x:c r="I8" s="14" t="s">
        <x:v>47</x:v>
      </x:c>
      <x:c r="J8" s="12" t="s">
        <x:v>47</x:v>
      </x:c>
      <x:c r="K8" s="12" t="s">
        <x:v>50</x:v>
      </x:c>
    </x:row>
    <x:row r="9" spans="1:11">
      <x:c r="A9" s="15" t="s">
        <x:v>79</x:v>
      </x:c>
      <x:c r="B9" s="15" t="s">
        <x:v>27</x:v>
      </x:c>
      <x:c r="C9" s="15" t="s">
        <x:v>80</x:v>
      </x:c>
      <x:c r="D9" s="16" t="s">
        <x:v>47</x:v>
      </x:c>
      <x:c r="E9" s="16" t="s">
        <x:v>81</x:v>
      </x:c>
      <x:c r="F9" s="16" t="s">
        <x:v>82</x:v>
      </x:c>
      <x:c r="G9" s="15" t="s">
        <x:v>25</x:v>
      </x:c>
      <x:c r="H9" s="15" t="s">
        <x:v>47</x:v>
      </x:c>
      <x:c r="I9" s="17" t="s">
        <x:v>47</x:v>
      </x:c>
      <x:c r="J9" s="15" t="s">
        <x:v>47</x:v>
      </x:c>
      <x:c r="K9" s="15" t="s">
        <x:v>50</x:v>
      </x:c>
    </x:row>
    <x:row r="10" spans="1:11">
      <x:c r="A10" s="12" t="s">
        <x:v>83</x:v>
      </x:c>
      <x:c r="B10" s="12" t="s">
        <x:v>27</x:v>
      </x:c>
      <x:c r="C10" s="12" t="s">
        <x:v>84</x:v>
      </x:c>
      <x:c r="D10" s="13" t="s">
        <x:v>47</x:v>
      </x:c>
      <x:c r="E10" s="13" t="s">
        <x:v>85</x:v>
      </x:c>
      <x:c r="F10" s="13" t="s">
        <x:v>86</x:v>
      </x:c>
      <x:c r="G10" s="12" t="s">
        <x:v>25</x:v>
      </x:c>
      <x:c r="H10" s="12" t="s">
        <x:v>47</x:v>
      </x:c>
      <x:c r="I10" s="14" t="s">
        <x:v>47</x:v>
      </x:c>
      <x:c r="J10" s="12" t="s">
        <x:v>47</x:v>
      </x:c>
      <x:c r="K10" s="12" t="s">
        <x:v>50</x:v>
      </x:c>
    </x:row>
    <x:row r="11" spans="1:11">
      <x:c r="A11" s="15" t="s">
        <x:v>87</x:v>
      </x:c>
      <x:c r="B11" s="15" t="s">
        <x:v>27</x:v>
      </x:c>
      <x:c r="C11" s="15" t="s">
        <x:v>88</x:v>
      </x:c>
      <x:c r="D11" s="16" t="s">
        <x:v>89</x:v>
      </x:c>
      <x:c r="E11" s="16" t="s">
        <x:v>90</x:v>
      </x:c>
      <x:c r="F11" s="16" t="s">
        <x:v>91</x:v>
      </x:c>
      <x:c r="G11" s="15" t="s">
        <x:v>25</x:v>
      </x:c>
      <x:c r="H11" s="15" t="s">
        <x:v>47</x:v>
      </x:c>
      <x:c r="I11" s="17" t="s">
        <x:v>47</x:v>
      </x:c>
      <x:c r="J11" s="15" t="s">
        <x:v>47</x:v>
      </x:c>
      <x:c r="K11" s="15" t="s">
        <x:v>50</x:v>
      </x:c>
    </x:row>
    <x:row r="12" spans="1:11">
      <x:c r="A12" s="12" t="s">
        <x:v>92</x:v>
      </x:c>
      <x:c r="B12" s="12" t="s">
        <x:v>27</x:v>
      </x:c>
      <x:c r="C12" s="12" t="s">
        <x:v>93</x:v>
      </x:c>
      <x:c r="D12" s="13" t="s">
        <x:v>94</x:v>
      </x:c>
      <x:c r="E12" s="13" t="s">
        <x:v>95</x:v>
      </x:c>
      <x:c r="F12" s="13" t="s">
        <x:v>96</x:v>
      </x:c>
      <x:c r="G12" s="12" t="s">
        <x:v>25</x:v>
      </x:c>
      <x:c r="H12" s="12" t="s">
        <x:v>47</x:v>
      </x:c>
      <x:c r="I12" s="14" t="s">
        <x:v>47</x:v>
      </x:c>
      <x:c r="J12" s="12" t="s">
        <x:v>47</x:v>
      </x:c>
      <x:c r="K12" s="12" t="s">
        <x:v>50</x:v>
      </x:c>
    </x:row>
    <x:row r="13" spans="1:11">
      <x:c r="A13" s="15" t="s">
        <x:v>97</x:v>
      </x:c>
      <x:c r="B13" s="15" t="s">
        <x:v>27</x:v>
      </x:c>
      <x:c r="C13" s="15" t="s">
        <x:v>98</x:v>
      </x:c>
      <x:c r="D13" s="16" t="s">
        <x:v>47</x:v>
      </x:c>
      <x:c r="E13" s="16" t="s">
        <x:v>99</x:v>
      </x:c>
      <x:c r="F13" s="16" t="s">
        <x:v>100</x:v>
      </x:c>
      <x:c r="G13" s="15" t="s">
        <x:v>25</x:v>
      </x:c>
      <x:c r="H13" s="15" t="s">
        <x:v>47</x:v>
      </x:c>
      <x:c r="I13" s="17" t="s">
        <x:v>47</x:v>
      </x:c>
      <x:c r="J13" s="15" t="s">
        <x:v>47</x:v>
      </x:c>
      <x:c r="K13" s="15" t="s">
        <x:v>50</x:v>
      </x:c>
    </x:row>
    <x:row r="14" spans="1:11">
      <x:c r="A14" s="12" t="s">
        <x:v>101</x:v>
      </x:c>
      <x:c r="B14" s="12" t="s">
        <x:v>27</x:v>
      </x:c>
      <x:c r="C14" s="12" t="s">
        <x:v>102</x:v>
      </x:c>
      <x:c r="D14" s="13" t="s">
        <x:v>47</x:v>
      </x:c>
      <x:c r="E14" s="13" t="s">
        <x:v>103</x:v>
      </x:c>
      <x:c r="F14" s="13" t="s">
        <x:v>104</x:v>
      </x:c>
      <x:c r="G14" s="12" t="s">
        <x:v>25</x:v>
      </x:c>
      <x:c r="H14" s="12" t="s">
        <x:v>47</x:v>
      </x:c>
      <x:c r="I14" s="14" t="s">
        <x:v>47</x:v>
      </x:c>
      <x:c r="J14" s="12" t="s">
        <x:v>47</x:v>
      </x:c>
      <x:c r="K14" s="12" t="s">
        <x:v>50</x:v>
      </x:c>
    </x:row>
    <x:row r="15" spans="1:11">
      <x:c r="A15" s="15" t="s">
        <x:v>105</x:v>
      </x:c>
      <x:c r="B15" s="15" t="s">
        <x:v>27</x:v>
      </x:c>
      <x:c r="C15" s="15" t="s">
        <x:v>106</x:v>
      </x:c>
      <x:c r="D15" s="16" t="s">
        <x:v>47</x:v>
      </x:c>
      <x:c r="E15" s="16" t="s">
        <x:v>107</x:v>
      </x:c>
      <x:c r="F15" s="16" t="s">
        <x:v>108</x:v>
      </x:c>
      <x:c r="G15" s="15" t="s">
        <x:v>25</x:v>
      </x:c>
      <x:c r="H15" s="15" t="s">
        <x:v>47</x:v>
      </x:c>
      <x:c r="I15" s="17" t="s">
        <x:v>47</x:v>
      </x:c>
      <x:c r="J15" s="15" t="s">
        <x:v>47</x:v>
      </x:c>
      <x:c r="K15" s="15" t="s">
        <x:v>50</x:v>
      </x:c>
    </x:row>
    <x:row r="16" spans="1:11">
      <x:c r="A16" s="12" t="s">
        <x:v>109</x:v>
      </x:c>
      <x:c r="B16" s="12" t="s">
        <x:v>28</x:v>
      </x:c>
      <x:c r="C16" s="12" t="s">
        <x:v>110</x:v>
      </x:c>
      <x:c r="D16" s="13" t="s">
        <x:v>47</x:v>
      </x:c>
      <x:c r="E16" s="13" t="s">
        <x:v>111</x:v>
      </x:c>
      <x:c r="F16" s="13" t="s">
        <x:v>112</x:v>
      </x:c>
      <x:c r="G16" s="12" t="s">
        <x:v>25</x:v>
      </x:c>
      <x:c r="H16" s="12" t="s">
        <x:v>47</x:v>
      </x:c>
      <x:c r="I16" s="14" t="s">
        <x:v>47</x:v>
      </x:c>
      <x:c r="J16" s="12" t="s">
        <x:v>47</x:v>
      </x:c>
      <x:c r="K16" s="12" t="s">
        <x:v>50</x:v>
      </x:c>
    </x:row>
    <x:row r="17" spans="1:11">
      <x:c r="A17" s="15" t="s">
        <x:v>113</x:v>
      </x:c>
      <x:c r="B17" s="15" t="s">
        <x:v>28</x:v>
      </x:c>
      <x:c r="C17" s="15" t="s">
        <x:v>114</x:v>
      </x:c>
      <x:c r="D17" s="16" t="s">
        <x:v>47</x:v>
      </x:c>
      <x:c r="E17" s="16" t="s">
        <x:v>115</x:v>
      </x:c>
      <x:c r="F17" s="16" t="s">
        <x:v>116</x:v>
      </x:c>
      <x:c r="G17" s="15" t="s">
        <x:v>25</x:v>
      </x:c>
      <x:c r="H17" s="15" t="s">
        <x:v>47</x:v>
      </x:c>
      <x:c r="I17" s="17" t="s">
        <x:v>47</x:v>
      </x:c>
      <x:c r="J17" s="15" t="s">
        <x:v>47</x:v>
      </x:c>
      <x:c r="K17" s="15" t="s">
        <x:v>50</x:v>
      </x:c>
    </x:row>
    <x:row r="18" spans="1:11">
      <x:c r="A18" s="12" t="s">
        <x:v>117</x:v>
      </x:c>
      <x:c r="B18" s="12" t="s">
        <x:v>28</x:v>
      </x:c>
      <x:c r="C18" s="12" t="s">
        <x:v>118</x:v>
      </x:c>
      <x:c r="D18" s="13" t="s">
        <x:v>47</x:v>
      </x:c>
      <x:c r="E18" s="13" t="s">
        <x:v>119</x:v>
      </x:c>
      <x:c r="F18" s="13" t="s">
        <x:v>120</x:v>
      </x:c>
      <x:c r="G18" s="12" t="s">
        <x:v>25</x:v>
      </x:c>
      <x:c r="H18" s="12" t="s">
        <x:v>47</x:v>
      </x:c>
      <x:c r="I18" s="14" t="s">
        <x:v>47</x:v>
      </x:c>
      <x:c r="J18" s="12" t="s">
        <x:v>47</x:v>
      </x:c>
      <x:c r="K18" s="12" t="s">
        <x:v>50</x:v>
      </x:c>
    </x:row>
    <x:row r="19" spans="1:11">
      <x:c r="A19" s="15" t="s">
        <x:v>121</x:v>
      </x:c>
      <x:c r="B19" s="15" t="s">
        <x:v>28</x:v>
      </x:c>
      <x:c r="C19" s="15" t="s">
        <x:v>122</x:v>
      </x:c>
      <x:c r="D19" s="16" t="s">
        <x:v>47</x:v>
      </x:c>
      <x:c r="E19" s="16" t="s">
        <x:v>123</x:v>
      </x:c>
      <x:c r="F19" s="16" t="s">
        <x:v>124</x:v>
      </x:c>
      <x:c r="G19" s="15" t="s">
        <x:v>25</x:v>
      </x:c>
      <x:c r="H19" s="15" t="s">
        <x:v>47</x:v>
      </x:c>
      <x:c r="I19" s="17" t="s">
        <x:v>47</x:v>
      </x:c>
      <x:c r="J19" s="15" t="s">
        <x:v>47</x:v>
      </x:c>
      <x:c r="K19" s="15" t="s">
        <x:v>50</x:v>
      </x:c>
    </x:row>
    <x:row r="20" spans="1:11">
      <x:c r="A20" s="12" t="s">
        <x:v>125</x:v>
      </x:c>
      <x:c r="B20" s="12" t="s">
        <x:v>28</x:v>
      </x:c>
      <x:c r="C20" s="12" t="s">
        <x:v>126</x:v>
      </x:c>
      <x:c r="D20" s="13" t="s">
        <x:v>127</x:v>
      </x:c>
      <x:c r="E20" s="13" t="s">
        <x:v>128</x:v>
      </x:c>
      <x:c r="F20" s="13" t="s">
        <x:v>129</x:v>
      </x:c>
      <x:c r="G20" s="12" t="s">
        <x:v>25</x:v>
      </x:c>
      <x:c r="H20" s="12" t="s">
        <x:v>47</x:v>
      </x:c>
      <x:c r="I20" s="14" t="s">
        <x:v>47</x:v>
      </x:c>
      <x:c r="J20" s="12" t="s">
        <x:v>47</x:v>
      </x:c>
      <x:c r="K20" s="12" t="s">
        <x:v>50</x:v>
      </x:c>
    </x:row>
    <x:row r="21" spans="1:11">
      <x:c r="A21" s="15" t="s">
        <x:v>130</x:v>
      </x:c>
      <x:c r="B21" s="15" t="s">
        <x:v>28</x:v>
      </x:c>
      <x:c r="C21" s="15" t="s">
        <x:v>131</x:v>
      </x:c>
      <x:c r="D21" s="16" t="s">
        <x:v>47</x:v>
      </x:c>
      <x:c r="E21" s="16" t="s">
        <x:v>132</x:v>
      </x:c>
      <x:c r="F21" s="16" t="s">
        <x:v>133</x:v>
      </x:c>
      <x:c r="G21" s="15" t="s">
        <x:v>25</x:v>
      </x:c>
      <x:c r="H21" s="15" t="s">
        <x:v>47</x:v>
      </x:c>
      <x:c r="I21" s="17" t="s">
        <x:v>47</x:v>
      </x:c>
      <x:c r="J21" s="15" t="s">
        <x:v>47</x:v>
      </x:c>
      <x:c r="K21" s="15" t="s">
        <x:v>50</x:v>
      </x:c>
    </x:row>
    <x:row r="22" spans="1:11">
      <x:c r="A22" s="12" t="s">
        <x:v>134</x:v>
      </x:c>
      <x:c r="B22" s="12" t="s">
        <x:v>28</x:v>
      </x:c>
      <x:c r="C22" s="12" t="s">
        <x:v>135</x:v>
      </x:c>
      <x:c r="D22" s="13" t="s">
        <x:v>136</x:v>
      </x:c>
      <x:c r="E22" s="13" t="s">
        <x:v>137</x:v>
      </x:c>
      <x:c r="F22" s="13" t="s">
        <x:v>138</x:v>
      </x:c>
      <x:c r="G22" s="12" t="s">
        <x:v>25</x:v>
      </x:c>
      <x:c r="H22" s="12" t="s">
        <x:v>47</x:v>
      </x:c>
      <x:c r="I22" s="14" t="s">
        <x:v>47</x:v>
      </x:c>
      <x:c r="J22" s="12" t="s">
        <x:v>47</x:v>
      </x:c>
      <x:c r="K22" s="12" t="s">
        <x:v>50</x:v>
      </x:c>
    </x:row>
    <x:row r="23" spans="1:11">
      <x:c r="A23" s="15" t="s">
        <x:v>139</x:v>
      </x:c>
      <x:c r="B23" s="15" t="s">
        <x:v>28</x:v>
      </x:c>
      <x:c r="C23" s="15" t="s">
        <x:v>140</x:v>
      </x:c>
      <x:c r="D23" s="16" t="s">
        <x:v>47</x:v>
      </x:c>
      <x:c r="E23" s="16" t="s">
        <x:v>141</x:v>
      </x:c>
      <x:c r="F23" s="16" t="s">
        <x:v>142</x:v>
      </x:c>
      <x:c r="G23" s="15" t="s">
        <x:v>25</x:v>
      </x:c>
      <x:c r="H23" s="15" t="s">
        <x:v>47</x:v>
      </x:c>
      <x:c r="I23" s="17" t="s">
        <x:v>47</x:v>
      </x:c>
      <x:c r="J23" s="15" t="s">
        <x:v>47</x:v>
      </x:c>
      <x:c r="K23" s="15" t="s">
        <x:v>50</x:v>
      </x:c>
    </x:row>
    <x:row r="24" spans="1:11">
      <x:c r="A24" s="12" t="s">
        <x:v>143</x:v>
      </x:c>
      <x:c r="B24" s="12" t="s">
        <x:v>28</x:v>
      </x:c>
      <x:c r="C24" s="12" t="s">
        <x:v>144</x:v>
      </x:c>
      <x:c r="D24" s="13" t="s">
        <x:v>47</x:v>
      </x:c>
      <x:c r="E24" s="13" t="s">
        <x:v>145</x:v>
      </x:c>
      <x:c r="F24" s="13" t="s">
        <x:v>146</x:v>
      </x:c>
      <x:c r="G24" s="12" t="s">
        <x:v>25</x:v>
      </x:c>
      <x:c r="H24" s="12" t="s">
        <x:v>47</x:v>
      </x:c>
      <x:c r="I24" s="14" t="s">
        <x:v>47</x:v>
      </x:c>
      <x:c r="J24" s="12" t="s">
        <x:v>47</x:v>
      </x:c>
      <x:c r="K24" s="12" t="s">
        <x:v>50</x:v>
      </x:c>
    </x:row>
    <x:row r="25" spans="1:11">
      <x:c r="A25" s="15" t="s">
        <x:v>147</x:v>
      </x:c>
      <x:c r="B25" s="15" t="s">
        <x:v>28</x:v>
      </x:c>
      <x:c r="C25" s="15" t="s">
        <x:v>148</x:v>
      </x:c>
      <x:c r="D25" s="16" t="s">
        <x:v>47</x:v>
      </x:c>
      <x:c r="E25" s="16" t="s">
        <x:v>149</x:v>
      </x:c>
      <x:c r="F25" s="16" t="s">
        <x:v>150</x:v>
      </x:c>
      <x:c r="G25" s="15" t="s">
        <x:v>25</x:v>
      </x:c>
      <x:c r="H25" s="15" t="s">
        <x:v>47</x:v>
      </x:c>
      <x:c r="I25" s="17" t="s">
        <x:v>47</x:v>
      </x:c>
      <x:c r="J25" s="15" t="s">
        <x:v>47</x:v>
      </x:c>
      <x:c r="K25" s="15" t="s">
        <x:v>50</x:v>
      </x:c>
    </x:row>
    <x:row r="26" spans="1:11">
      <x:c r="A26" s="12" t="s">
        <x:v>151</x:v>
      </x:c>
      <x:c r="B26" s="12" t="s">
        <x:v>29</x:v>
      </x:c>
      <x:c r="C26" s="12" t="s">
        <x:v>152</x:v>
      </x:c>
      <x:c r="D26" s="13" t="s">
        <x:v>153</x:v>
      </x:c>
      <x:c r="E26" s="13" t="s">
        <x:v>154</x:v>
      </x:c>
      <x:c r="F26" s="13" t="s">
        <x:v>155</x:v>
      </x:c>
      <x:c r="G26" s="12" t="s">
        <x:v>25</x:v>
      </x:c>
      <x:c r="H26" s="12" t="s">
        <x:v>47</x:v>
      </x:c>
      <x:c r="I26" s="14" t="s">
        <x:v>47</x:v>
      </x:c>
      <x:c r="J26" s="12" t="s">
        <x:v>47</x:v>
      </x:c>
      <x:c r="K26" s="12" t="s">
        <x:v>50</x:v>
      </x:c>
    </x:row>
    <x:row r="27" spans="1:11">
      <x:c r="A27" s="15" t="s">
        <x:v>156</x:v>
      </x:c>
      <x:c r="B27" s="15" t="s">
        <x:v>29</x:v>
      </x:c>
      <x:c r="C27" s="15" t="s">
        <x:v>157</x:v>
      </x:c>
      <x:c r="D27" s="16" t="s">
        <x:v>158</x:v>
      </x:c>
      <x:c r="E27" s="16" t="s">
        <x:v>159</x:v>
      </x:c>
      <x:c r="F27" s="16" t="s">
        <x:v>160</x:v>
      </x:c>
      <x:c r="G27" s="15" t="s">
        <x:v>25</x:v>
      </x:c>
      <x:c r="H27" s="15" t="s">
        <x:v>47</x:v>
      </x:c>
      <x:c r="I27" s="17" t="s">
        <x:v>47</x:v>
      </x:c>
      <x:c r="J27" s="15" t="s">
        <x:v>47</x:v>
      </x:c>
      <x:c r="K27" s="15" t="s">
        <x:v>50</x:v>
      </x:c>
    </x:row>
    <x:row r="28" spans="1:11">
      <x:c r="A28" s="12" t="s">
        <x:v>161</x:v>
      </x:c>
      <x:c r="B28" s="12" t="s">
        <x:v>29</x:v>
      </x:c>
      <x:c r="C28" s="12" t="s">
        <x:v>162</x:v>
      </x:c>
      <x:c r="D28" s="13" t="s">
        <x:v>163</x:v>
      </x:c>
      <x:c r="E28" s="13" t="s">
        <x:v>164</x:v>
      </x:c>
      <x:c r="F28" s="13" t="s">
        <x:v>165</x:v>
      </x:c>
      <x:c r="G28" s="12" t="s">
        <x:v>25</x:v>
      </x:c>
      <x:c r="H28" s="12" t="s">
        <x:v>47</x:v>
      </x:c>
      <x:c r="I28" s="14" t="s">
        <x:v>47</x:v>
      </x:c>
      <x:c r="J28" s="12" t="s">
        <x:v>47</x:v>
      </x:c>
      <x:c r="K28" s="12" t="s">
        <x:v>50</x:v>
      </x:c>
    </x:row>
    <x:row r="29" spans="1:11">
      <x:c r="A29" s="15" t="s">
        <x:v>166</x:v>
      </x:c>
      <x:c r="B29" s="15" t="s">
        <x:v>29</x:v>
      </x:c>
      <x:c r="C29" s="15" t="s">
        <x:v>167</x:v>
      </x:c>
      <x:c r="D29" s="16" t="s">
        <x:v>47</x:v>
      </x:c>
      <x:c r="E29" s="16" t="s">
        <x:v>168</x:v>
      </x:c>
      <x:c r="F29" s="16" t="s">
        <x:v>169</x:v>
      </x:c>
      <x:c r="G29" s="15" t="s">
        <x:v>25</x:v>
      </x:c>
      <x:c r="H29" s="15" t="s">
        <x:v>47</x:v>
      </x:c>
      <x:c r="I29" s="17" t="s">
        <x:v>47</x:v>
      </x:c>
      <x:c r="J29" s="15" t="s">
        <x:v>47</x:v>
      </x:c>
      <x:c r="K29" s="15" t="s">
        <x:v>50</x:v>
      </x:c>
    </x:row>
    <x:row r="30" spans="1:11">
      <x:c r="A30" s="12" t="s">
        <x:v>170</x:v>
      </x:c>
      <x:c r="B30" s="12" t="s">
        <x:v>29</x:v>
      </x:c>
      <x:c r="C30" s="12" t="s">
        <x:v>171</x:v>
      </x:c>
      <x:c r="D30" s="13" t="s">
        <x:v>172</x:v>
      </x:c>
      <x:c r="E30" s="13" t="s">
        <x:v>173</x:v>
      </x:c>
      <x:c r="F30" s="13" t="s">
        <x:v>174</x:v>
      </x:c>
      <x:c r="G30" s="12" t="s">
        <x:v>25</x:v>
      </x:c>
      <x:c r="H30" s="12" t="s">
        <x:v>47</x:v>
      </x:c>
      <x:c r="I30" s="14" t="s">
        <x:v>47</x:v>
      </x:c>
      <x:c r="J30" s="12" t="s">
        <x:v>47</x:v>
      </x:c>
      <x:c r="K30" s="12" t="s">
        <x:v>50</x:v>
      </x:c>
    </x:row>
    <x:row r="31" spans="1:11">
      <x:c r="A31" s="15" t="s">
        <x:v>175</x:v>
      </x:c>
      <x:c r="B31" s="15" t="s">
        <x:v>29</x:v>
      </x:c>
      <x:c r="C31" s="15" t="s">
        <x:v>176</x:v>
      </x:c>
      <x:c r="D31" s="16" t="s">
        <x:v>177</x:v>
      </x:c>
      <x:c r="E31" s="16" t="s">
        <x:v>178</x:v>
      </x:c>
      <x:c r="F31" s="16" t="s">
        <x:v>179</x:v>
      </x:c>
      <x:c r="G31" s="15" t="s">
        <x:v>25</x:v>
      </x:c>
      <x:c r="H31" s="15" t="s">
        <x:v>47</x:v>
      </x:c>
      <x:c r="I31" s="17" t="s">
        <x:v>47</x:v>
      </x:c>
      <x:c r="J31" s="15" t="s">
        <x:v>47</x:v>
      </x:c>
      <x:c r="K31" s="15" t="s">
        <x:v>50</x:v>
      </x:c>
    </x:row>
    <x:row r="32" spans="1:11">
      <x:c r="A32" s="12" t="s">
        <x:v>180</x:v>
      </x:c>
      <x:c r="B32" s="12" t="s">
        <x:v>29</x:v>
      </x:c>
      <x:c r="C32" s="12" t="s">
        <x:v>181</x:v>
      </x:c>
      <x:c r="D32" s="13" t="s">
        <x:v>47</x:v>
      </x:c>
      <x:c r="E32" s="13" t="s">
        <x:v>182</x:v>
      </x:c>
      <x:c r="F32" s="13" t="s">
        <x:v>183</x:v>
      </x:c>
      <x:c r="G32" s="12" t="s">
        <x:v>25</x:v>
      </x:c>
      <x:c r="H32" s="12" t="s">
        <x:v>47</x:v>
      </x:c>
      <x:c r="I32" s="14" t="s">
        <x:v>47</x:v>
      </x:c>
      <x:c r="J32" s="12" t="s">
        <x:v>47</x:v>
      </x:c>
      <x:c r="K32" s="12" t="s">
        <x:v>50</x:v>
      </x:c>
    </x:row>
    <x:row r="33" spans="1:11">
      <x:c r="A33" s="15" t="s">
        <x:v>184</x:v>
      </x:c>
      <x:c r="B33" s="15" t="s">
        <x:v>29</x:v>
      </x:c>
      <x:c r="C33" s="15" t="s">
        <x:v>185</x:v>
      </x:c>
      <x:c r="D33" s="16" t="s">
        <x:v>47</x:v>
      </x:c>
      <x:c r="E33" s="16" t="s">
        <x:v>186</x:v>
      </x:c>
      <x:c r="F33" s="16" t="s">
        <x:v>187</x:v>
      </x:c>
      <x:c r="G33" s="15" t="s">
        <x:v>25</x:v>
      </x:c>
      <x:c r="H33" s="15" t="s">
        <x:v>47</x:v>
      </x:c>
      <x:c r="I33" s="17" t="s">
        <x:v>47</x:v>
      </x:c>
      <x:c r="J33" s="15" t="s">
        <x:v>47</x:v>
      </x:c>
      <x:c r="K33" s="15" t="s">
        <x:v>50</x:v>
      </x:c>
    </x:row>
    <x:row r="34" spans="1:11">
      <x:c r="A34" s="12" t="s">
        <x:v>188</x:v>
      </x:c>
      <x:c r="B34" s="12" t="s">
        <x:v>29</x:v>
      </x:c>
      <x:c r="C34" s="12" t="s">
        <x:v>189</x:v>
      </x:c>
      <x:c r="D34" s="13" t="s">
        <x:v>190</x:v>
      </x:c>
      <x:c r="E34" s="13" t="s">
        <x:v>191</x:v>
      </x:c>
      <x:c r="F34" s="13" t="s">
        <x:v>192</x:v>
      </x:c>
      <x:c r="G34" s="12" t="s">
        <x:v>25</x:v>
      </x:c>
      <x:c r="H34" s="12" t="s">
        <x:v>47</x:v>
      </x:c>
      <x:c r="I34" s="14" t="s">
        <x:v>47</x:v>
      </x:c>
      <x:c r="J34" s="12" t="s">
        <x:v>47</x:v>
      </x:c>
      <x:c r="K34" s="12" t="s">
        <x:v>50</x:v>
      </x:c>
    </x:row>
    <x:row r="35" spans="1:11">
      <x:c r="A35" s="15" t="s">
        <x:v>193</x:v>
      </x:c>
      <x:c r="B35" s="15" t="s">
        <x:v>29</x:v>
      </x:c>
      <x:c r="C35" s="15" t="s">
        <x:v>194</x:v>
      </x:c>
      <x:c r="D35" s="16" t="s">
        <x:v>47</x:v>
      </x:c>
      <x:c r="E35" s="16" t="s">
        <x:v>195</x:v>
      </x:c>
      <x:c r="F35" s="16" t="s">
        <x:v>196</x:v>
      </x:c>
      <x:c r="G35" s="15" t="s">
        <x:v>25</x:v>
      </x:c>
      <x:c r="H35" s="15" t="s">
        <x:v>47</x:v>
      </x:c>
      <x:c r="I35" s="17" t="s">
        <x:v>47</x:v>
      </x:c>
      <x:c r="J35" s="15" t="s">
        <x:v>47</x:v>
      </x:c>
      <x:c r="K35" s="15" t="s">
        <x:v>50</x:v>
      </x:c>
    </x:row>
    <x:row r="36" spans="1:11">
      <x:c r="A36" s="12" t="s">
        <x:v>197</x:v>
      </x:c>
      <x:c r="B36" s="12" t="s">
        <x:v>29</x:v>
      </x:c>
      <x:c r="C36" s="12" t="s">
        <x:v>198</x:v>
      </x:c>
      <x:c r="D36" s="13" t="s">
        <x:v>199</x:v>
      </x:c>
      <x:c r="E36" s="13" t="s">
        <x:v>200</x:v>
      </x:c>
      <x:c r="F36" s="13" t="s">
        <x:v>201</x:v>
      </x:c>
      <x:c r="G36" s="12" t="s">
        <x:v>25</x:v>
      </x:c>
      <x:c r="H36" s="12" t="s">
        <x:v>47</x:v>
      </x:c>
      <x:c r="I36" s="14" t="s">
        <x:v>47</x:v>
      </x:c>
      <x:c r="J36" s="12" t="s">
        <x:v>47</x:v>
      </x:c>
      <x:c r="K36" s="12" t="s">
        <x:v>50</x:v>
      </x:c>
    </x:row>
    <x:row r="37" spans="1:11">
      <x:c r="A37" s="15" t="s">
        <x:v>202</x:v>
      </x:c>
      <x:c r="B37" s="15" t="s">
        <x:v>30</x:v>
      </x:c>
      <x:c r="C37" s="15" t="s">
        <x:v>203</x:v>
      </x:c>
      <x:c r="D37" s="16" t="s">
        <x:v>47</x:v>
      </x:c>
      <x:c r="E37" s="16" t="s">
        <x:v>204</x:v>
      </x:c>
      <x:c r="F37" s="16" t="s">
        <x:v>205</x:v>
      </x:c>
      <x:c r="G37" s="15" t="s">
        <x:v>25</x:v>
      </x:c>
      <x:c r="H37" s="15" t="s">
        <x:v>47</x:v>
      </x:c>
      <x:c r="I37" s="17" t="s">
        <x:v>47</x:v>
      </x:c>
      <x:c r="J37" s="15" t="s">
        <x:v>47</x:v>
      </x:c>
      <x:c r="K37" s="15" t="s">
        <x:v>50</x:v>
      </x:c>
    </x:row>
    <x:row r="38" spans="1:11">
      <x:c r="A38" s="12" t="s">
        <x:v>206</x:v>
      </x:c>
      <x:c r="B38" s="12" t="s">
        <x:v>30</x:v>
      </x:c>
      <x:c r="C38" s="12" t="s">
        <x:v>207</x:v>
      </x:c>
      <x:c r="D38" s="13" t="s">
        <x:v>47</x:v>
      </x:c>
      <x:c r="E38" s="13" t="s">
        <x:v>208</x:v>
      </x:c>
      <x:c r="F38" s="13" t="s">
        <x:v>209</x:v>
      </x:c>
      <x:c r="G38" s="12" t="s">
        <x:v>25</x:v>
      </x:c>
      <x:c r="H38" s="12" t="s">
        <x:v>47</x:v>
      </x:c>
      <x:c r="I38" s="14" t="s">
        <x:v>47</x:v>
      </x:c>
      <x:c r="J38" s="12" t="s">
        <x:v>47</x:v>
      </x:c>
      <x:c r="K38" s="12" t="s">
        <x:v>50</x:v>
      </x:c>
    </x:row>
    <x:row r="39" spans="1:11">
      <x:c r="A39" s="15" t="s">
        <x:v>210</x:v>
      </x:c>
      <x:c r="B39" s="15" t="s">
        <x:v>30</x:v>
      </x:c>
      <x:c r="C39" s="15" t="s">
        <x:v>211</x:v>
      </x:c>
      <x:c r="D39" s="16" t="s">
        <x:v>47</x:v>
      </x:c>
      <x:c r="E39" s="16" t="s">
        <x:v>212</x:v>
      </x:c>
      <x:c r="F39" s="16" t="s">
        <x:v>213</x:v>
      </x:c>
      <x:c r="G39" s="15" t="s">
        <x:v>25</x:v>
      </x:c>
      <x:c r="H39" s="15" t="s">
        <x:v>47</x:v>
      </x:c>
      <x:c r="I39" s="17" t="s">
        <x:v>47</x:v>
      </x:c>
      <x:c r="J39" s="15" t="s">
        <x:v>47</x:v>
      </x:c>
      <x:c r="K39" s="15" t="s">
        <x:v>50</x:v>
      </x:c>
    </x:row>
    <x:row r="40" spans="1:11">
      <x:c r="A40" s="12" t="s">
        <x:v>214</x:v>
      </x:c>
      <x:c r="B40" s="12" t="s">
        <x:v>30</x:v>
      </x:c>
      <x:c r="C40" s="12" t="s">
        <x:v>215</x:v>
      </x:c>
      <x:c r="D40" s="13" t="s">
        <x:v>47</x:v>
      </x:c>
      <x:c r="E40" s="13" t="s">
        <x:v>216</x:v>
      </x:c>
      <x:c r="F40" s="13" t="s">
        <x:v>217</x:v>
      </x:c>
      <x:c r="G40" s="12" t="s">
        <x:v>25</x:v>
      </x:c>
      <x:c r="H40" s="12" t="s">
        <x:v>47</x:v>
      </x:c>
      <x:c r="I40" s="14" t="s">
        <x:v>47</x:v>
      </x:c>
      <x:c r="J40" s="12" t="s">
        <x:v>47</x:v>
      </x:c>
      <x:c r="K40" s="12" t="s">
        <x:v>50</x:v>
      </x:c>
    </x:row>
    <x:row r="41" spans="1:11">
      <x:c r="A41" s="15" t="s">
        <x:v>218</x:v>
      </x:c>
      <x:c r="B41" s="15" t="s">
        <x:v>30</x:v>
      </x:c>
      <x:c r="C41" s="15" t="s">
        <x:v>219</x:v>
      </x:c>
      <x:c r="D41" s="16" t="s">
        <x:v>47</x:v>
      </x:c>
      <x:c r="E41" s="16" t="s">
        <x:v>220</x:v>
      </x:c>
      <x:c r="F41" s="16" t="s">
        <x:v>221</x:v>
      </x:c>
      <x:c r="G41" s="15" t="s">
        <x:v>25</x:v>
      </x:c>
      <x:c r="H41" s="15" t="s">
        <x:v>47</x:v>
      </x:c>
      <x:c r="I41" s="17" t="s">
        <x:v>47</x:v>
      </x:c>
      <x:c r="J41" s="15" t="s">
        <x:v>47</x:v>
      </x:c>
      <x:c r="K41" s="15" t="s">
        <x:v>50</x:v>
      </x:c>
    </x:row>
    <x:row r="42" spans="1:11">
      <x:c r="A42" s="12" t="s">
        <x:v>222</x:v>
      </x:c>
      <x:c r="B42" s="12" t="s">
        <x:v>30</x:v>
      </x:c>
      <x:c r="C42" s="12" t="s">
        <x:v>223</x:v>
      </x:c>
      <x:c r="D42" s="13" t="s">
        <x:v>47</x:v>
      </x:c>
      <x:c r="E42" s="13" t="s">
        <x:v>224</x:v>
      </x:c>
      <x:c r="F42" s="13" t="s">
        <x:v>225</x:v>
      </x:c>
      <x:c r="G42" s="12" t="s">
        <x:v>25</x:v>
      </x:c>
      <x:c r="H42" s="12" t="s">
        <x:v>47</x:v>
      </x:c>
      <x:c r="I42" s="14" t="s">
        <x:v>47</x:v>
      </x:c>
      <x:c r="J42" s="12" t="s">
        <x:v>47</x:v>
      </x:c>
      <x:c r="K42" s="12" t="s">
        <x:v>50</x:v>
      </x:c>
    </x:row>
    <x:row r="43" spans="1:11">
      <x:c r="A43" s="15" t="s">
        <x:v>226</x:v>
      </x:c>
      <x:c r="B43" s="15" t="s">
        <x:v>31</x:v>
      </x:c>
      <x:c r="C43" s="15" t="s">
        <x:v>227</x:v>
      </x:c>
      <x:c r="D43" s="16" t="s">
        <x:v>47</x:v>
      </x:c>
      <x:c r="E43" s="16" t="s">
        <x:v>228</x:v>
      </x:c>
      <x:c r="F43" s="16" t="s">
        <x:v>229</x:v>
      </x:c>
      <x:c r="G43" s="15" t="s">
        <x:v>25</x:v>
      </x:c>
      <x:c r="H43" s="15" t="s">
        <x:v>47</x:v>
      </x:c>
      <x:c r="I43" s="17" t="s">
        <x:v>47</x:v>
      </x:c>
      <x:c r="J43" s="15" t="s">
        <x:v>47</x:v>
      </x:c>
      <x:c r="K43" s="15" t="s">
        <x:v>50</x:v>
      </x:c>
    </x:row>
    <x:row r="44" spans="1:11">
      <x:c r="A44" s="12" t="s">
        <x:v>230</x:v>
      </x:c>
      <x:c r="B44" s="12" t="s">
        <x:v>31</x:v>
      </x:c>
      <x:c r="C44" s="12" t="s">
        <x:v>231</x:v>
      </x:c>
      <x:c r="D44" s="13" t="s">
        <x:v>47</x:v>
      </x:c>
      <x:c r="E44" s="13" t="s">
        <x:v>232</x:v>
      </x:c>
      <x:c r="F44" s="13" t="s">
        <x:v>233</x:v>
      </x:c>
      <x:c r="G44" s="12" t="s">
        <x:v>25</x:v>
      </x:c>
      <x:c r="H44" s="12" t="s">
        <x:v>47</x:v>
      </x:c>
      <x:c r="I44" s="14" t="s">
        <x:v>47</x:v>
      </x:c>
      <x:c r="J44" s="12" t="s">
        <x:v>47</x:v>
      </x:c>
      <x:c r="K44" s="12" t="s">
        <x:v>50</x:v>
      </x:c>
    </x:row>
    <x:row r="45" spans="1:11">
      <x:c r="A45" s="15" t="s">
        <x:v>234</x:v>
      </x:c>
      <x:c r="B45" s="15" t="s">
        <x:v>31</x:v>
      </x:c>
      <x:c r="C45" s="15" t="s">
        <x:v>235</x:v>
      </x:c>
      <x:c r="D45" s="16" t="s">
        <x:v>47</x:v>
      </x:c>
      <x:c r="E45" s="16" t="s">
        <x:v>236</x:v>
      </x:c>
      <x:c r="F45" s="16" t="s">
        <x:v>237</x:v>
      </x:c>
      <x:c r="G45" s="15" t="s">
        <x:v>25</x:v>
      </x:c>
      <x:c r="H45" s="15" t="s">
        <x:v>47</x:v>
      </x:c>
      <x:c r="I45" s="17" t="s">
        <x:v>47</x:v>
      </x:c>
      <x:c r="J45" s="15" t="s">
        <x:v>47</x:v>
      </x:c>
      <x:c r="K45" s="15" t="s">
        <x:v>50</x:v>
      </x:c>
    </x:row>
    <x:row r="46" spans="1:11">
      <x:c r="A46" s="12" t="s">
        <x:v>238</x:v>
      </x:c>
      <x:c r="B46" s="12" t="s">
        <x:v>31</x:v>
      </x:c>
      <x:c r="C46" s="12" t="s">
        <x:v>239</x:v>
      </x:c>
      <x:c r="D46" s="13" t="s">
        <x:v>47</x:v>
      </x:c>
      <x:c r="E46" s="13" t="s">
        <x:v>240</x:v>
      </x:c>
      <x:c r="F46" s="13" t="s">
        <x:v>241</x:v>
      </x:c>
      <x:c r="G46" s="12" t="s">
        <x:v>25</x:v>
      </x:c>
      <x:c r="H46" s="12" t="s">
        <x:v>47</x:v>
      </x:c>
      <x:c r="I46" s="14" t="s">
        <x:v>47</x:v>
      </x:c>
      <x:c r="J46" s="12" t="s">
        <x:v>47</x:v>
      </x:c>
      <x:c r="K46" s="12" t="s">
        <x:v>50</x:v>
      </x:c>
    </x:row>
    <x:row r="47" spans="1:11">
      <x:c r="A47" s="15" t="s">
        <x:v>242</x:v>
      </x:c>
      <x:c r="B47" s="15" t="s">
        <x:v>32</x:v>
      </x:c>
      <x:c r="C47" s="15" t="s">
        <x:v>243</x:v>
      </x:c>
      <x:c r="D47" s="16" t="s">
        <x:v>244</x:v>
      </x:c>
      <x:c r="E47" s="16" t="s">
        <x:v>245</x:v>
      </x:c>
      <x:c r="F47" s="16" t="s">
        <x:v>246</x:v>
      </x:c>
      <x:c r="G47" s="15" t="s">
        <x:v>25</x:v>
      </x:c>
      <x:c r="H47" s="15" t="s">
        <x:v>47</x:v>
      </x:c>
      <x:c r="I47" s="17" t="s">
        <x:v>47</x:v>
      </x:c>
      <x:c r="J47" s="15" t="s">
        <x:v>47</x:v>
      </x:c>
      <x:c r="K47" s="15" t="s">
        <x:v>50</x:v>
      </x:c>
    </x:row>
    <x:row r="48" spans="1:11">
      <x:c r="A48" s="12" t="s">
        <x:v>247</x:v>
      </x:c>
      <x:c r="B48" s="12" t="s">
        <x:v>33</x:v>
      </x:c>
      <x:c r="C48" s="12" t="s">
        <x:v>248</x:v>
      </x:c>
      <x:c r="D48" s="13" t="s">
        <x:v>47</x:v>
      </x:c>
      <x:c r="E48" s="13" t="s">
        <x:v>249</x:v>
      </x:c>
      <x:c r="F48" s="13" t="s">
        <x:v>250</x:v>
      </x:c>
      <x:c r="G48" s="12" t="s">
        <x:v>25</x:v>
      </x:c>
      <x:c r="H48" s="12" t="s">
        <x:v>47</x:v>
      </x:c>
      <x:c r="I48" s="14" t="s">
        <x:v>47</x:v>
      </x:c>
      <x:c r="J48" s="12" t="s">
        <x:v>47</x:v>
      </x:c>
      <x:c r="K48" s="12" t="s">
        <x:v>251</x:v>
      </x:c>
    </x:row>
    <x:row r="49" spans="1:11">
      <x:c r="A49" s="15" t="s">
        <x:v>252</x:v>
      </x:c>
      <x:c r="B49" s="15" t="s">
        <x:v>33</x:v>
      </x:c>
      <x:c r="C49" s="15" t="s">
        <x:v>253</x:v>
      </x:c>
      <x:c r="D49" s="16" t="s">
        <x:v>254</x:v>
      </x:c>
      <x:c r="E49" s="16" t="s">
        <x:v>255</x:v>
      </x:c>
      <x:c r="F49" s="16" t="s">
        <x:v>256</x:v>
      </x:c>
      <x:c r="G49" s="15" t="s">
        <x:v>25</x:v>
      </x:c>
      <x:c r="H49" s="15" t="s">
        <x:v>47</x:v>
      </x:c>
      <x:c r="I49" s="17" t="s">
        <x:v>47</x:v>
      </x:c>
      <x:c r="J49" s="15" t="s">
        <x:v>47</x:v>
      </x:c>
      <x:c r="K49" s="15" t="s">
        <x:v>251</x:v>
      </x:c>
    </x:row>
    <x:row r="50" spans="1:11">
      <x:c r="A50" s="12" t="s">
        <x:v>257</x:v>
      </x:c>
      <x:c r="B50" s="12" t="s">
        <x:v>33</x:v>
      </x:c>
      <x:c r="C50" s="12" t="s">
        <x:v>258</x:v>
      </x:c>
      <x:c r="D50" s="13" t="s">
        <x:v>259</x:v>
      </x:c>
      <x:c r="E50" s="13" t="s">
        <x:v>260</x:v>
      </x:c>
      <x:c r="F50" s="13" t="s">
        <x:v>261</x:v>
      </x:c>
      <x:c r="G50" s="12" t="s">
        <x:v>25</x:v>
      </x:c>
      <x:c r="H50" s="12" t="s">
        <x:v>47</x:v>
      </x:c>
      <x:c r="I50" s="14" t="s">
        <x:v>47</x:v>
      </x:c>
      <x:c r="J50" s="12" t="s">
        <x:v>47</x:v>
      </x:c>
      <x:c r="K50" s="12" t="s">
        <x:v>251</x:v>
      </x:c>
    </x:row>
    <x:row r="51" spans="1:11">
      <x:c r="A51" s="15" t="s">
        <x:v>262</x:v>
      </x:c>
      <x:c r="B51" s="15" t="s">
        <x:v>33</x:v>
      </x:c>
      <x:c r="C51" s="15" t="s">
        <x:v>263</x:v>
      </x:c>
      <x:c r="D51" s="16" t="s">
        <x:v>47</x:v>
      </x:c>
      <x:c r="E51" s="16" t="s">
        <x:v>264</x:v>
      </x:c>
      <x:c r="F51" s="16" t="s">
        <x:v>265</x:v>
      </x:c>
      <x:c r="G51" s="15" t="s">
        <x:v>25</x:v>
      </x:c>
      <x:c r="H51" s="15" t="s">
        <x:v>47</x:v>
      </x:c>
      <x:c r="I51" s="17" t="s">
        <x:v>47</x:v>
      </x:c>
      <x:c r="J51" s="15" t="s">
        <x:v>47</x:v>
      </x:c>
      <x:c r="K51" s="15" t="s">
        <x:v>251</x:v>
      </x:c>
    </x:row>
    <x:row r="52" spans="1:11">
      <x:c r="A52" s="12" t="s">
        <x:v>266</x:v>
      </x:c>
      <x:c r="B52" s="12" t="s">
        <x:v>33</x:v>
      </x:c>
      <x:c r="C52" s="12" t="s">
        <x:v>267</x:v>
      </x:c>
      <x:c r="D52" s="13" t="s">
        <x:v>268</x:v>
      </x:c>
      <x:c r="E52" s="13" t="s">
        <x:v>269</x:v>
      </x:c>
      <x:c r="F52" s="13" t="s">
        <x:v>270</x:v>
      </x:c>
      <x:c r="G52" s="12" t="s">
        <x:v>25</x:v>
      </x:c>
      <x:c r="H52" s="12" t="s">
        <x:v>47</x:v>
      </x:c>
      <x:c r="I52" s="14" t="s">
        <x:v>47</x:v>
      </x:c>
      <x:c r="J52" s="12" t="s">
        <x:v>47</x:v>
      </x:c>
      <x:c r="K52" s="12" t="s">
        <x:v>251</x:v>
      </x:c>
    </x:row>
    <x:row r="53" spans="1:11">
      <x:c r="A53" s="15" t="s">
        <x:v>271</x:v>
      </x:c>
      <x:c r="B53" s="15" t="s">
        <x:v>33</x:v>
      </x:c>
      <x:c r="C53" s="15" t="s">
        <x:v>272</x:v>
      </x:c>
      <x:c r="D53" s="16" t="s">
        <x:v>47</x:v>
      </x:c>
      <x:c r="E53" s="16" t="s">
        <x:v>273</x:v>
      </x:c>
      <x:c r="F53" s="16" t="s">
        <x:v>274</x:v>
      </x:c>
      <x:c r="G53" s="15" t="s">
        <x:v>25</x:v>
      </x:c>
      <x:c r="H53" s="15" t="s">
        <x:v>47</x:v>
      </x:c>
      <x:c r="I53" s="17" t="s">
        <x:v>47</x:v>
      </x:c>
      <x:c r="J53" s="15" t="s">
        <x:v>47</x:v>
      </x:c>
      <x:c r="K53" s="15" t="s">
        <x:v>251</x:v>
      </x:c>
    </x:row>
    <x:row r="54" spans="1:11">
      <x:c r="A54" s="12" t="s">
        <x:v>275</x:v>
      </x:c>
      <x:c r="B54" s="12" t="s">
        <x:v>33</x:v>
      </x:c>
      <x:c r="C54" s="12" t="s">
        <x:v>276</x:v>
      </x:c>
      <x:c r="D54" s="13" t="s">
        <x:v>47</x:v>
      </x:c>
      <x:c r="E54" s="13" t="s">
        <x:v>277</x:v>
      </x:c>
      <x:c r="F54" s="13" t="s">
        <x:v>278</x:v>
      </x:c>
      <x:c r="G54" s="12" t="s">
        <x:v>25</x:v>
      </x:c>
      <x:c r="H54" s="12" t="s">
        <x:v>47</x:v>
      </x:c>
      <x:c r="I54" s="14" t="s">
        <x:v>47</x:v>
      </x:c>
      <x:c r="J54" s="12" t="s">
        <x:v>47</x:v>
      </x:c>
      <x:c r="K54" s="12" t="s">
        <x:v>251</x:v>
      </x:c>
    </x:row>
    <x:row r="55" spans="1:11">
      <x:c r="A55" s="15" t="s">
        <x:v>279</x:v>
      </x:c>
      <x:c r="B55" s="15" t="s">
        <x:v>33</x:v>
      </x:c>
      <x:c r="C55" s="15" t="s">
        <x:v>280</x:v>
      </x:c>
      <x:c r="D55" s="16" t="s">
        <x:v>281</x:v>
      </x:c>
      <x:c r="E55" s="16" t="s">
        <x:v>282</x:v>
      </x:c>
      <x:c r="F55" s="16" t="s">
        <x:v>283</x:v>
      </x:c>
      <x:c r="G55" s="15" t="s">
        <x:v>25</x:v>
      </x:c>
      <x:c r="H55" s="15" t="s">
        <x:v>47</x:v>
      </x:c>
      <x:c r="I55" s="17" t="s">
        <x:v>47</x:v>
      </x:c>
      <x:c r="J55" s="15" t="s">
        <x:v>47</x:v>
      </x:c>
      <x:c r="K55" s="15" t="s">
        <x:v>251</x:v>
      </x:c>
    </x:row>
    <x:row r="56" spans="1:11">
      <x:c r="A56" s="12" t="s">
        <x:v>284</x:v>
      </x:c>
      <x:c r="B56" s="12" t="s">
        <x:v>33</x:v>
      </x:c>
      <x:c r="C56" s="12" t="s">
        <x:v>285</x:v>
      </x:c>
      <x:c r="D56" s="13" t="s">
        <x:v>47</x:v>
      </x:c>
      <x:c r="E56" s="13" t="s">
        <x:v>286</x:v>
      </x:c>
      <x:c r="F56" s="13" t="s">
        <x:v>287</x:v>
      </x:c>
      <x:c r="G56" s="12" t="s">
        <x:v>25</x:v>
      </x:c>
      <x:c r="H56" s="12" t="s">
        <x:v>47</x:v>
      </x:c>
      <x:c r="I56" s="14" t="s">
        <x:v>47</x:v>
      </x:c>
      <x:c r="J56" s="12" t="s">
        <x:v>47</x:v>
      </x:c>
      <x:c r="K56" s="12" t="s">
        <x:v>251</x:v>
      </x:c>
    </x:row>
    <x:row r="57" spans="1:11">
      <x:c r="A57" s="15" t="s">
        <x:v>288</x:v>
      </x:c>
      <x:c r="B57" s="15" t="s">
        <x:v>33</x:v>
      </x:c>
      <x:c r="C57" s="15" t="s">
        <x:v>289</x:v>
      </x:c>
      <x:c r="D57" s="16" t="s">
        <x:v>47</x:v>
      </x:c>
      <x:c r="E57" s="16" t="s">
        <x:v>290</x:v>
      </x:c>
      <x:c r="F57" s="16" t="s">
        <x:v>291</x:v>
      </x:c>
      <x:c r="G57" s="15" t="s">
        <x:v>25</x:v>
      </x:c>
      <x:c r="H57" s="15" t="s">
        <x:v>47</x:v>
      </x:c>
      <x:c r="I57" s="17" t="s">
        <x:v>47</x:v>
      </x:c>
      <x:c r="J57" s="15" t="s">
        <x:v>47</x:v>
      </x:c>
      <x:c r="K57" s="15" t="s">
        <x:v>251</x:v>
      </x:c>
    </x:row>
  </x:sheetData>
  <x:autoFilter ref="A1:K57"/>
  <x:conditionalFormatting sqref="G2:G57">
    <x:cfRule type="cellIs" dxfId="3" priority="1" operator="equal">
      <x:formula>"Pass"</x:formula>
    </x:cfRule>
    <x:cfRule type="cellIs" dxfId="4" priority="2" operator="equal">
      <x:formula>"Fail"</x:formula>
    </x:cfRule>
    <x:cfRule type="cellIs" dxfId="5" priority="3" operator="equal">
      <x:formula>"Blocked"</x:formula>
    </x:cfRule>
    <x:cfRule type="cellIs" dxfId="6" priority="4" operator="equal">
      <x:formula>"Skipped"</x:formula>
    </x:cfRule>
  </x:conditionalFormatting>
  <x:conditionalFormatting sqref="K2:K57">
    <x:cfRule type="cellIs" dxfId="7" priority="5" operator="equal">
      <x:formula>"Core"</x:formula>
    </x:cfRule>
    <x:cfRule type="cellIs" dxfId="8" priority="6" operator="equal">
      <x:formula>"Edge"</x:formula>
    </x:cfRule>
  </x:conditionalFormatting>
  <x:dataValidations count="1">
    <x:dataValidation type="list" errorStyle="stop" operator="between" allowBlank="1" showDropDown="0" showInputMessage="1" showErrorMessage="1" errorTitle="" error="" promptTitle="" prompt="" sqref="G2:G57">
      <x:formula1>"Not Tested,Pass,Fail,Blocked,Skipped"</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Summary</vt:lpstr>
      <vt:lpstr>Test Cases</vt:lpstr>
      <vt:lpstr>Summary!Print_Area</vt:lpstr>
      <vt:lpstr>Summary!Print_Titles</vt:lpstr>
      <vt:lpstr>Test Cases!Print_Area</vt:lpstr>
      <vt:lpstr>Test Cases!Print_Titles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