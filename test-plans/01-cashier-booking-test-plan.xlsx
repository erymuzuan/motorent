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54f36f304344674" /><Relationship Type="http://schemas.openxmlformats.org/officeDocument/2006/relationships/extended-properties" Target="/docProps/app.xml" Id="rId1" /><Relationship Type="http://schemas.openxmlformats.org/package/2006/relationships/metadata/core-properties" Target="/package/services/metadata/core-properties/490ae8a447994cb28237e81bf69958fd.psmdcp" Id="Rfbff993dffbc499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mmary" sheetId="1" r:id="rId2"/>
    <x:sheet name="Test Cases" sheetId="2" r:id="rId3"/>
  </x:sheets>
  <x:definedNames>
    <x:definedName name="_xlnm._FilterDatabase" localSheetId="1" hidden="1">'Test Cases'!$A$1:$K$44</x:definedName>
  </x:definedNames>
  <x:calcPr calcId="125725"/>
</x:workbook>
</file>

<file path=xl/calcChain.xml><?xml version="1.0" encoding="utf-8"?>
<x:calcChain xmlns:x="http://schemas.openxmlformats.org/spreadsheetml/2006/main">
  <x:c r="C17" i="1"/>
  <x:c r="D17" i="1"/>
  <x:c r="E17" i="1"/>
  <x:c r="F17" i="1"/>
  <x:c r="G17" i="1"/>
  <x:c r="C18" i="1"/>
  <x:c r="D18" i="1"/>
  <x:c r="E18" i="1"/>
  <x:c r="F18" i="1"/>
  <x:c r="G18" i="1"/>
  <x:c r="C19" i="1"/>
  <x:c r="D19" i="1"/>
  <x:c r="E19" i="1"/>
  <x:c r="F19" i="1"/>
  <x:c r="G19" i="1"/>
  <x:c r="C20" i="1"/>
  <x:c r="D20" i="1"/>
  <x:c r="E20" i="1"/>
  <x:c r="F20" i="1"/>
  <x:c r="G20" i="1"/>
  <x:c r="C21" i="1"/>
  <x:c r="D21" i="1"/>
  <x:c r="E21" i="1"/>
  <x:c r="F21" i="1"/>
  <x:c r="G21" i="1"/>
  <x:c r="C22" i="1"/>
  <x:c r="D22" i="1"/>
  <x:c r="E22" i="1"/>
  <x:c r="F22" i="1"/>
  <x:c r="G22" i="1"/>
  <x:c r="B23" i="1"/>
  <x:c r="C23" i="1"/>
  <x:c r="D23" i="1"/>
  <x:c r="E23" i="1"/>
  <x:c r="F23" i="1"/>
  <x:c r="G23" i="1"/>
</x:calcChain>
</file>

<file path=xl/sharedStrings.xml><?xml version="1.0" encoding="utf-8"?>
<x:sst xmlns:x="http://schemas.openxmlformats.org/spreadsheetml/2006/main">
  <x:si>
    <x:t>Test Plan 01: Cashier - Booking &amp; Payment Workflow</x:t>
  </x:si>
  <x:si>
    <x:t>Role:</x:t>
  </x:si>
  <x:si>
    <x:t>Staff (Cashier)</x:t>
  </x:si>
  <x:si>
    <x:t>Access Policy:</x:t>
  </x:si>
  <x:si>
    <x:t>RequireTenantStaff</x:t>
  </x:si>
  <x:si>
    <x:t>Primary Pages:</x:t>
  </x:si>
  <x:si>
    <x:t>`/bookings/create`, `/bookings`, `/bookings/{BookingRef}`, `/staff/till`</x:t>
  </x:si>
  <x:si>
    <x:t>Prerequisites</x:t>
  </x:si>
  <x:si>
    <x:t>☐</x:t>
  </x:si>
  <x:si>
    <x:t>Logged in as a user with Staff, ShopManager, or OrgAdmin role</x:t>
  </x:si>
  <x:si>
    <x:t>Assigned to a shop with active fleet vehicles</x:t>
  </x:si>
  <x:si>
    <x:t>At least 2 fleet models with available vehicles in the shop</x:t>
  </x:si>
  <x:si>
    <x:t>At least 1 agent configured (for agent booking tests)</x:t>
  </x:si>
  <x:si>
    <x:t>Insurance packages configured for at least 1 fleet model</x:t>
  </x:si>
  <x:si>
    <x:t>Accessories configured for at least 1 fleet model</x:t>
  </x:si>
  <x:si>
    <x:t>Section Progress</x:t>
  </x:si>
  <x:si>
    <x:t>Section</x:t>
  </x:si>
  <x:si>
    <x:t>Total</x:t>
  </x:si>
  <x:si>
    <x:t>Passed</x:t>
  </x:si>
  <x:si>
    <x:t>Failed</x:t>
  </x:si>
  <x:si>
    <x:t>Blocked</x:t>
  </x:si>
  <x:si>
    <x:t>Not Tested</x:t>
  </x:si>
  <x:si>
    <x:t>% Complete</x:t>
  </x:si>
  <x:si>
    <x:t>Till Management</x:t>
  </x:si>
  <x:si>
    <x:t>Booking Creation</x:t>
  </x:si>
  <x:si>
    <x:t>Booking List</x:t>
  </x:si>
  <x:si>
    <x:t>Booking Details</x:t>
  </x:si>
  <x:si>
    <x:t>Agent Commission Workflow</x:t>
  </x:si>
  <x:si>
    <x:t>Edge Cases &amp; Error Scenarios</x:t>
  </x:si>
  <x:si>
    <x:t>TOTAL</x:t>
  </x:si>
  <x:si>
    <x:t>TC ID</x:t>
  </x:si>
  <x:si>
    <x:t>Test Case</x:t>
  </x:si>
  <x:si>
    <x:t>Precondition</x:t>
  </x:si>
  <x:si>
    <x:t>Steps</x:t>
  </x:si>
  <x:si>
    <x:t>Expected Result</x:t>
  </x:si>
  <x:si>
    <x:t>Status</x:t>
  </x:si>
  <x:si>
    <x:t>Tester</x:t>
  </x:si>
  <x:si>
    <x:t>Test Date</x:t>
  </x:si>
  <x:si>
    <x:t>Notes</x:t>
  </x:si>
  <x:si>
    <x:t>Priority</x:t>
  </x:si>
  <x:si>
    <x:t>TC-1.1</x:t>
  </x:si>
  <x:si>
    <x:t>Open Till Session</x:t>
  </x:si>
  <x:si>
    <x:t/>
  </x:si>
  <x:si>
    <x:t>1. Navigate to `/staff/till`
2. Verify the "Open Till Session" button is displayed
3. Click "Open Till Session"
4. Enter an opening float amount (e.g., 5000)
5. Confirm opening</x:t>
  </x:si>
  <x:si>
    <x:t>Till dashboard appears with "Session Active" badge
Opening float shows the entered amount
Cash in/out cards show 0
Staff name and session start time displayed
Quick Payment and Quick Payout buttons visible</x:t>
  </x:si>
  <x:si>
    <x:t>Core</x:t>
  </x:si>
  <x:si>
    <x:t>TC-1.2</x:t>
  </x:si>
  <x:si>
    <x:t>Open Till - Stale Session Warning</x:t>
  </x:si>
  <x:si>
    <x:t>A till session was opened yesterday and never closed.</x:t>
  </x:si>
  <x:si>
    <x:t>1. Navigate to `/staff/till`
2. Observe the stale session warning</x:t>
  </x:si>
  <x:si>
    <x:t>Yellow/warning header displayed
Shows session opened date from yesterday
"Close Shift" button prominently displayed
Cannot perform new transactions until stale session is closed</x:t>
  </x:si>
  <x:si>
    <x:t>TC-1.3</x:t>
  </x:si>
  <x:si>
    <x:t>Close Till Session</x:t>
  </x:si>
  <x:si>
    <x:t>Active till session exists.</x:t>
  </x:si>
  <x:si>
    <x:t>1. Navigate to `/staff/till`
2. Click "Close Shift" in Till Operations section
3. Enter cash denomination counts in the close session dialog
4. Confirm closure</x:t>
  </x:si>
  <x:si>
    <x:t>Cash count form displays denomination fields
Expected vs actual cash comparison shown
Session closes successfully
Returns to "Open Till Session" screen</x:t>
  </x:si>
  <x:si>
    <x:t>TC-1.4</x:t>
  </x:si>
  <x:si>
    <x:t>Quick Payment - Rental Payment</x:t>
  </x:si>
  <x:si>
    <x:t>Active till session.</x:t>
  </x:si>
  <x:si>
    <x:t>1. Click "Rental Payment" quick button
2. Enter payment amount (e.g., 1500)
3. Select payment method: Cash
4. Confirm transaction</x:t>
  </x:si>
  <x:si>
    <x:t>Transaction recorded in till
Cash in total increases by 1500
Transaction appears in Recent Receipts</x:t>
  </x:si>
  <x:si>
    <x:t>TC-1.5</x:t>
  </x:si>
  <x:si>
    <x:t>Quick Payout - Agent Commission</x:t>
  </x:si>
  <x:si>
    <x:t>1. Click "Agent Commission" quick payout button
2. Enter payout amount (e.g., 500)
3. Add a reference note
4. Confirm payout</x:t>
  </x:si>
  <x:si>
    <x:t>Transaction recorded as cash-out
Cash out total increases by 500
Transaction appears in Recent Receipts</x:t>
  </x:si>
  <x:si>
    <x:t>TC-1.6</x:t>
  </x:si>
  <x:si>
    <x:t>Cash Drop</x:t>
  </x:si>
  <x:si>
    <x:t>Active till session with cash balance.</x:t>
  </x:si>
  <x:si>
    <x:t>1. Click "Cash Drop" in Till Operations
2. Enter drop amount
3. Confirm cash drop</x:t>
  </x:si>
  <x:si>
    <x:t>"Total dropped to safe" amount updates
Cash balance in till decreases</x:t>
  </x:si>
  <x:si>
    <x:t>TC-1.7</x:t>
  </x:si>
  <x:si>
    <x:t>Void Transaction</x:t>
  </x:si>
  <x:si>
    <x:t>Active till session with at least 1 transaction.</x:t>
  </x:si>
  <x:si>
    <x:t>1. Click a recent receipt in the Recent Receipts card
2. Click void/cancel option
3. Enter void reason in the VoidTransactionDialog
4. Requires manager PIN approval (ManagerPinDialog)
5. Confirm void</x:t>
  </x:si>
  <x:si>
    <x:t>Transaction marked as VOID with strikethrough styling
VOID badge appears on the receipt
Cash totals adjusted accordingly</x:t>
  </x:si>
  <x:si>
    <x:t>TC-1.8</x:t>
  </x:si>
  <x:si>
    <x:t>Reprint Receipt</x:t>
  </x:si>
  <x:si>
    <x:t>Active till session with receipts.</x:t>
  </x:si>
  <x:si>
    <x:t>1. Click the reprint button on any receipt in Recent Receipts
2. Verify print dialog opens</x:t>
  </x:si>
  <x:si>
    <x:t>Receipt print dialog shows correct transaction details
Receipt number, amount, and type displayed correctly</x:t>
  </x:si>
  <x:si>
    <x:t>TC-2.1</x:t>
  </x:si>
  <x:si>
    <x:t>Create Basic Booking (Happy Path)</x:t>
  </x:si>
  <x:si>
    <x:t>1. Navigate to `/bookings/create`
2. **Step 0 - Customer Info:**
- Enter Customer Name: "John Smith"
- Enter Phone: "+66812345678"
- Enter Email: "john@example.com" (optional)
- Enter Nationality: select "United Kingdom"
- Enter Hotel Name: "Patong Beach Hotel"
- Click Next
3. **Step 1 - Dates &amp; Vehicle:**
- Set Start Date: tomorrow
- Set End Date: 3 days from now
- Select a fleet model by clicking Add (+)
- Verify vehicle count shows 1
- Click Next
4. **Step 2 - Add-ons:**
- Select an insurance package from dropdown
- Enter preferred color (optional)
- Check 1 accessory (if available)
- Click Next
5. **Step 3 - Payment:**
- Verify booking summary shows correct totals
- Enter payment amount matching the deposit required
- Select Payment Method: Cash
- Select Payment Type: Deposit
- Click Next
6. **Step 4 - Confirmation:**
- Review all details displayed
- Click "Create Booking"</x:t>
  </x:si>
  <x:si>
    <x:t>Booking created with Status = "Pending"
Redirects to `/bookings/{BookingRef}`
BookingRef is 6-character alphanumeric
Payment recorded with type "Deposit"
Payment status reflects amount paid</x:t>
  </x:si>
  <x:si>
    <x:t>TC-2.2</x:t>
  </x:si>
  <x:si>
    <x:t>Create Booking - Validation Errors (Step 0)</x:t>
  </x:si>
  <x:si>
    <x:t>1. Navigate to `/bookings/create`
2. Leave Customer Name empty, click Next
3. Verify validation message for required name
4. Enter name, leave Phone empty, click Next
5. Verify validation message for required phone</x:t>
  </x:si>
  <x:si>
    <x:t>Cannot advance past Step 0 without Customer Name and Phone
Validation messages shown inline</x:t>
  </x:si>
  <x:si>
    <x:t>TC-2.3</x:t>
  </x:si>
  <x:si>
    <x:t>Create Booking - No Vehicle Selected (Step 1)</x:t>
  </x:si>
  <x:si>
    <x:t>1. Complete Step 0 with valid data
2. On Step 1, set dates but do not select any vehicle
3. Click Next</x:t>
  </x:si>
  <x:si>
    <x:t>Cannot advance past Step 1
Validation message indicating at least 1 vehicle must be selected</x:t>
  </x:si>
  <x:si>
    <x:t>TC-2.4</x:t>
  </x:si>
  <x:si>
    <x:t>Create Booking - Date Validation (Step 1)</x:t>
  </x:si>
  <x:si>
    <x:t>1. Complete Step 0 with valid data
2. On Step 1, set Start Date to a past date
3. Attempt to set End Date before Start Date</x:t>
  </x:si>
  <x:si>
    <x:t>Start Date minimum is today
End Date minimum is Start Date
Cannot select invalid date ranges</x:t>
  </x:si>
  <x:si>
    <x:t>TC-2.5</x:t>
  </x:si>
  <x:si>
    <x:t>Create Booking - Multiple Vehicles</x:t>
  </x:si>
  <x:si>
    <x:t>1. Complete Step 0 with valid data
2. On Step 1, add 2 different fleet models (or 2 of the same)
3. Verify quantity can be adjusted with Add/Remove buttons
4. Continue through remaining steps</x:t>
  </x:si>
  <x:si>
    <x:t>Multiple items shown in Step 2 (one row per vehicle)
Each item has separate insurance and accessory selection
Total amount sums all items correctly
Booking created with correct vehicle count</x:t>
  </x:si>
  <x:si>
    <x:t>TC-2.6</x:t>
  </x:si>
  <x:si>
    <x:t>Create Booking - No Payment</x:t>
  </x:si>
  <x:si>
    <x:t>1. Complete Steps 0-2 with valid data
2. On Step 3, leave payment amount as 0 or empty
3. Complete booking</x:t>
  </x:si>
  <x:si>
    <x:t>Booking created with PaymentStatus = "Unpaid"
No payment record created
Balance due equals full booking total</x:t>
  </x:si>
  <x:si>
    <x:t>TC-2.7</x:t>
  </x:si>
  <x:si>
    <x:t>Create Booking - Full Payment</x:t>
  </x:si>
  <x:si>
    <x:t>1. Complete Steps 0-2 with valid data
2. On Step 3, click "Full Amount" quick button
3. Select Payment Method: Card
4. Enter Transaction Ref: "TXN-12345"
5. Complete booking</x:t>
  </x:si>
  <x:si>
    <x:t>PaymentStatus = "FullyPaid"
Balance due = 0
Payment record shows Card method with transaction ref</x:t>
  </x:si>
  <x:si>
    <x:t>TC-2.8</x:t>
  </x:si>
  <x:si>
    <x:t>Create Booking with Agent Referral</x:t>
  </x:si>
  <x:si>
    <x:t>1. Navigate to `/bookings/create`
2. On Step 0, select an Agent from the dropdown
3. Verify commission info displayed (type, rate)
4. If agent allows surcharge, enter surcharge amount (e.g., 200)
5. Optionally check "Hide surcharge from customer"
6. Complete all steps through confirmation</x:t>
  </x:si>
  <x:si>
    <x:t>BookingSource = "Agent"
Agent info card visible in booking details
Commission calculated based on agent's type:
Percentage: rate % of total
FixedPerBooking: fixed amount
FixedPerVehicle: fixed amount x vehicle count
FixedPerDay: fixed amount x rental days
Shop receivable = TotalAmount - AgentCommission
Surcharge visible/hidden per checkbox setting</x:t>
  </x:si>
  <x:si>
    <x:t>TC-2.9</x:t>
  </x:si>
  <x:si>
    <x:t>Create Booking - Document OCR Scan</x:t>
  </x:si>
  <x:si>
    <x:t>1. On Step 0, click the document scan button
2. Upload a passport image in the ScanDocumentDialog
3. Wait for OCR processing (Gemini Flash API)</x:t>
  </x:si>
  <x:si>
    <x:t>Customer Name auto-populated from passport
Passport number extracted
Nationality detected
Fields can be manually corrected after scan</x:t>
  </x:si>
  <x:si>
    <x:t>TC-2.10</x:t>
  </x:si>
  <x:si>
    <x:t>Create Booking - Link Existing Renter</x:t>
  </x:si>
  <x:si>
    <x:t>1. On Step 0, use the renter search/link feature
2. Search by phone number of an existing renter
3. Select the renter from results</x:t>
  </x:si>
  <x:si>
    <x:t>Customer fields populated from renter record
Linked renter shown with name and phone
RenterId stored on booking</x:t>
  </x:si>
  <x:si>
    <x:t>TC-3.1</x:t>
  </x:si>
  <x:si>
    <x:t>View Booking List</x:t>
  </x:si>
  <x:si>
    <x:t>1. Navigate to `/bookings`
2. Observe summary cards at the top</x:t>
  </x:si>
  <x:si>
    <x:t>Summary cards show: Today Arrivals, Pending, Confirmed, Checked In counts
Booking cards displayed with: date, status badge, customer name, phone, vehicle count, dates
BookingRef displayed and clickable</x:t>
  </x:si>
  <x:si>
    <x:t>TC-3.2</x:t>
  </x:si>
  <x:si>
    <x:t>Filter by Status Tab</x:t>
  </x:si>
  <x:si>
    <x:t>1. On booking list, click "Pending" tab
2. Then click "Confirmed" tab
3. Then click "All" tab</x:t>
  </x:si>
  <x:si>
    <x:t>List filters to show only bookings with selected status
Counts in summary cards match filtered results</x:t>
  </x:si>
  <x:si>
    <x:t>TC-3.3</x:t>
  </x:si>
  <x:si>
    <x:t>Search Bookings</x:t>
  </x:si>
  <x:si>
    <x:t>1. On booking list, type a customer name in the search bar
2. Clear search, type a phone number
3. Clear search, type a BookingRef</x:t>
  </x:si>
  <x:si>
    <x:t>Results filter in real-time by search term
Matches by customer name, phone, or booking reference</x:t>
  </x:si>
  <x:si>
    <x:t>TC-3.4</x:t>
  </x:si>
  <x:si>
    <x:t>Filter by Date</x:t>
  </x:si>
  <x:si>
    <x:t>1. On booking list, select a specific date from the date picker</x:t>
  </x:si>
  <x:si>
    <x:t>Only bookings for selected date displayed
"Today Arrivals" card reflects today's date filter</x:t>
  </x:si>
  <x:si>
    <x:t>TC-3.5</x:t>
  </x:si>
  <x:si>
    <x:t>Payment Status Badges</x:t>
  </x:si>
  <x:si>
    <x:t>1. Create bookings with different payment states (paid, partial, unpaid)
2. View booking list</x:t>
  </x:si>
  <x:si>
    <x:t>"Paid" badge (green with checkmark) for FullyPaid
"PartiallyPaid" badge (orange with coin) for PartiallyPaid
No payment badge for Unpaid</x:t>
  </x:si>
  <x:si>
    <x:t>TC-4.1</x:t>
  </x:si>
  <x:si>
    <x:t>View Booking Details</x:t>
  </x:si>
  <x:si>
    <x:t>1. Click a booking from the list, or navigate to `/bookings/{BookingRef}`</x:t>
  </x:si>
  <x:si>
    <x:t>Status card with current status badge
Customer card with name, phone, email, nationality, hotel
Vehicles card listing all booking items with insurance and costs
Payment summary in right sidebar showing total, paid, balance
Schedule card with pickup/return dates and duration
Change history card showing recent changes</x:t>
  </x:si>
  <x:si>
    <x:t>TC-4.2</x:t>
  </x:si>
  <x:si>
    <x:t>Confirm Pending Booking</x:t>
  </x:si>
  <x:si>
    <x:t>Booking with Status = "Pending"</x:t>
  </x:si>
  <x:si>
    <x:t>1. Open booking details
2. Click "Change Status" button
3. Select "Confirmed"</x:t>
  </x:si>
  <x:si>
    <x:t>Status changes to "Confirmed" with success badge
Change recorded in Change History</x:t>
  </x:si>
  <x:si>
    <x:t>TC-4.3</x:t>
  </x:si>
  <x:si>
    <x:t>Record Additional Payment</x:t>
  </x:si>
  <x:si>
    <x:t>Booking with balance due &gt; 0, active till session (if till enabled).</x:t>
  </x:si>
  <x:si>
    <x:t>1. Open booking details
2. Click "Record Payment" button
3. In RecordBookingPaymentDialog:
- Click "Balance Due" quick button (fills remaining amount)
- Select Payment Method: PromptPay
- Enter Transaction Ref
- Click Save</x:t>
  </x:si>
  <x:si>
    <x:t>Payment recorded in payment history
Amount paid updates, balance due decreases
If full amount paid: PaymentStatus = "FullyPaid"
Payment type auto-set to "Full" if amount &gt;= balance
Till transaction created (if till enabled)</x:t>
  </x:si>
  <x:si>
    <x:t>TC-4.4</x:t>
  </x:si>
  <x:si>
    <x:t>Record Payment - Partial</x:t>
  </x:si>
  <x:si>
    <x:t>1. Open booking with balance due &gt; 0
2. Record payment with amount less than balance due
3. Select Payment Method: BankTransfer
4. Enter Transaction Ref</x:t>
  </x:si>
  <x:si>
    <x:t>PaymentStatus = "PartiallyPaid"
Payment type = "Partial"
Balance due reduced but not zero</x:t>
  </x:si>
  <x:si>
    <x:t>TC-4.5</x:t>
  </x:si>
  <x:si>
    <x:t>Record Payment - No Active Till</x:t>
  </x:si>
  <x:si>
    <x:t>Till feature enabled but no active session.</x:t>
  </x:si>
  <x:si>
    <x:t>1. Open booking details
2. Click "Record Payment"</x:t>
  </x:si>
  <x:si>
    <x:t>Prompt to open till session
Redirects to `/staff/till` page
Cannot record payment without active till session</x:t>
  </x:si>
  <x:si>
    <x:t>TC-4.6</x:t>
  </x:si>
  <x:si>
    <x:t>Cancel Booking</x:t>
  </x:si>
  <x:si>
    <x:t>Booking with Status = "Pending" or "Confirmed" (not CheckedIn or Completed).</x:t>
  </x:si>
  <x:si>
    <x:t>1. Open booking details
2. Click "Cancel" button
3. Enter cancellation reason
4. Confirm cancellation</x:t>
  </x:si>
  <x:si>
    <x:t>Status changes to "Cancelled"
CancelledOn timestamp recorded
CancellationReason stored
Cannot further modify or check in
CanBeCancelled = false for CheckedIn/Completed/Cancelled bookings</x:t>
  </x:si>
  <x:si>
    <x:t>TC-4.7</x:t>
  </x:si>
  <x:si>
    <x:t>Cancel Booking - Already Checked In</x:t>
  </x:si>
  <x:si>
    <x:t>Booking with at least 1 item checked in.</x:t>
  </x:si>
  <x:si>
    <x:t>1. Open booking details
2. Verify Cancel button is not visible</x:t>
  </x:si>
  <x:si>
    <x:t>Cancel button hidden or disabled when any item is checked in</x:t>
  </x:si>
  <x:si>
    <x:t>TC-4.8</x:t>
  </x:si>
  <x:si>
    <x:t>Navigate to Check-In from Booking</x:t>
  </x:si>
  <x:si>
    <x:t>Booking with Status = "Pending" or "Confirmed".</x:t>
  </x:si>
  <x:si>
    <x:t>1. Open booking details
2. Click "Check In" button</x:t>
  </x:si>
  <x:si>
    <x:t>Navigates to `/rentals/checkin/{BookingRef}`
Check-in wizard pre-fills from booking data</x:t>
  </x:si>
  <x:si>
    <x:t>TC-4.9</x:t>
  </x:si>
  <x:si>
    <x:t>Print Booking Confirmation</x:t>
  </x:si>
  <x:si>
    <x:t>1. Open booking details
2. Click "Print" button (or dropdown for multiple templates)
3. Select template if multiple available</x:t>
  </x:si>
  <x:si>
    <x:t>Print dialog opens with booking confirmation
All booking details rendered correctly</x:t>
  </x:si>
  <x:si>
    <x:t>TC-4.10</x:t>
  </x:si>
  <x:si>
    <x:t>View Payment Details</x:t>
  </x:si>
  <x:si>
    <x:t>1. Open booking with payment history
2. Click a payment row in the payment history</x:t>
  </x:si>
  <x:si>
    <x:t>Offcanvas slides in from right
Shows: Payment amount, PaymentId, Date, Time, Method, Type
Transaction ref (if non-cash)
Card last 4 digits (if card)
Recorded by username</x:t>
  </x:si>
  <x:si>
    <x:t>TC-5.1</x:t>
  </x:si>
  <x:si>
    <x:t>View Agent Commission on Booking</x:t>
  </x:si>
  <x:si>
    <x:t>1. Create a booking with an agent referral
2. Open booking details</x:t>
  </x:si>
  <x:si>
    <x:t>Agent Info card displayed with:
Agent name and code
Commission amount
Surcharge amount (if applicable)
Shop receivable amount</x:t>
  </x:si>
  <x:si>
    <x:t>TC-5.2</x:t>
  </x:si>
  <x:si>
    <x:t>Commission Calculation - Percentage</x:t>
  </x:si>
  <x:si>
    <x:t>Agent with CommissionType = "Percentage", Rate = 10%</x:t>
  </x:si>
  <x:si>
    <x:t>1. Create booking with this agent, total amount = 3000</x:t>
  </x:si>
  <x:si>
    <x:t>Commission = 300 (10% of 3000)
Respects MinCommission and MaxCommission caps if set</x:t>
  </x:si>
  <x:si>
    <x:t>TC-5.3</x:t>
  </x:si>
  <x:si>
    <x:t>Commission Calculation - Fixed Per Vehicle</x:t>
  </x:si>
  <x:si>
    <x:t>Agent with CommissionType = "FixedPerVehicle", Rate = 200</x:t>
  </x:si>
  <x:si>
    <x:t>1. Create booking with 3 vehicles</x:t>
  </x:si>
  <x:si>
    <x:t>Commission = 600 (200 x 3 vehicles)</x:t>
  </x:si>
  <x:si>
    <x:t>TC-5.4</x:t>
  </x:si>
  <x:si>
    <x:t>Commission Calculation - Fixed Per Day</x:t>
  </x:si>
  <x:si>
    <x:t>Agent with CommissionType = "FixedPerDay", Rate = 100</x:t>
  </x:si>
  <x:si>
    <x:t>1. Create booking for 5 days</x:t>
  </x:si>
  <x:si>
    <x:t>Commission = 500 (100 x 5 days)</x:t>
  </x:si>
  <x:si>
    <x:t>TC-6.1</x:t>
  </x:si>
  <x:si>
    <x:t>Create Booking - Very Long Rental Period</x:t>
  </x:si>
  <x:si>
    <x:t>1. Create booking with Start Date = today, End Date = 30 days from now
2. Select 1 vehicle</x:t>
  </x:si>
  <x:si>
    <x:t>Duration calculated as 30 days
Total amount = daily rate x 30
Deposit amount correct</x:t>
  </x:si>
  <x:si>
    <x:t>Edge</x:t>
  </x:si>
  <x:si>
    <x:t>TC-6.2</x:t>
  </x:si>
  <x:si>
    <x:t>Create Booking - Same Day Rental</x:t>
  </x:si>
  <x:si>
    <x:t>1. Set Start Date = today, End Date = today
2. Complete booking</x:t>
  </x:si>
  <x:si>
    <x:t>Duration = 1 day (minimum)
Amount calculated for 1 day</x:t>
  </x:si>
  <x:si>
    <x:t>TC-6.3</x:t>
  </x:si>
  <x:si>
    <x:t>Booking with All Payment Methods</x:t>
  </x:si>
  <x:si>
    <x:t>1. Create 4 separate bookings, each with a different payment method:
- Cash
- Card (enter transaction ref)
- PromptPay (enter transaction ref)
- BankTransfer (enter transaction ref)</x:t>
  </x:si>
  <x:si>
    <x:t>All methods accepted and recorded
Non-cash methods require transaction reference field
Cash method does not show transaction ref field</x:t>
  </x:si>
  <x:si>
    <x:t>TC-6.4</x:t>
  </x:si>
  <x:si>
    <x:t>Navigate Back Through Wizard Steps</x:t>
  </x:si>
  <x:si>
    <x:t>1. Start booking creation, reach Step 3
2. Click Previous repeatedly to go back to Step 0
3. Modify customer name
4. Click Next through all steps again</x:t>
  </x:si>
  <x:si>
    <x:t>All previously entered data preserved
Modified data reflected in confirmation step
Can navigate back and forth without data loss</x:t>
  </x:si>
  <x:si>
    <x:t>TC-6.5</x:t>
  </x:si>
  <x:si>
    <x:t>Concurrent Till Sessions</x:t>
  </x:si>
  <x:si>
    <x:t>1. Open till session in Shop A
2. Check if user sees warning about existing open sessions</x:t>
  </x:si>
  <x:si>
    <x:t>Existing open sessions listed on the "Open Till" screen
Shows shop names and opened times for each session</x:t>
  </x:si>
  <x:si>
    <x:t>TC-6.6</x:t>
  </x:si>
  <x:si>
    <x:t>Agent Surcharge - Hidden from Customer</x:t>
  </x:si>
  <x:si>
    <x:t>1. Create booking with agent that allows surcharges
2. Enter surcharge = 300
3. Check "Hide surcharge from customer"
4. Review confirmation step</x:t>
  </x:si>
  <x:si>
    <x:t>CustomerVisibleTotal does not include surcharge
ShopReceivableAmount calculated correctly
Surcharge visible in booking details for staff</x:t>
  </x:si>
</x:sst>
</file>

<file path=xl/styles.xml><?xml version="1.0" encoding="utf-8"?>
<x:styleSheet xmlns:x="http://schemas.openxmlformats.org/spreadsheetml/2006/main">
  <x:numFmts count="3">
    <x:numFmt numFmtId="0" formatCode=""/>
    <x:numFmt numFmtId="164" formatCode="0%"/>
    <x:numFmt numFmtId="165" formatCode="yyyy-mm-dd"/>
  </x:numFmts>
  <x:fonts count="5">
    <x:font>
      <x:vertAlign val="baseline"/>
      <x:sz val="11"/>
      <x:color rgb="FF000000"/>
      <x:name val="Calibri"/>
      <x:family val="2"/>
    </x:font>
    <x:font>
      <x:b/>
      <x:vertAlign val="baseline"/>
      <x:sz val="16"/>
      <x:color rgb="FF000000"/>
      <x:name val="Calibri"/>
      <x:family val="2"/>
    </x:font>
    <x:font>
      <x:b/>
      <x:vertAlign val="baseline"/>
      <x:sz val="11"/>
      <x:color rgb="FF000000"/>
      <x:name val="Calibri"/>
      <x:family val="2"/>
    </x:font>
    <x:font>
      <x:b/>
      <x:vertAlign val="baseline"/>
      <x:sz val="12"/>
      <x:color rgb="FF000000"/>
      <x:name val="Calibri"/>
      <x:family val="2"/>
    </x:font>
    <x:font>
      <x:b/>
      <x:vertAlign val="baseline"/>
      <x:sz val="11"/>
      <x:color rgb="FFFFFFFF"/>
      <x:name val="Calibri"/>
      <x:family val="2"/>
    </x:font>
  </x:fonts>
  <x:fills count="6">
    <x:fill>
      <x:patternFill patternType="none"/>
    </x:fill>
    <x:fill>
      <x:patternFill patternType="gray125"/>
    </x:fill>
    <x:fill>
      <x:patternFill patternType="solid">
        <x:fgColor rgb="FF206BC4"/>
      </x:patternFill>
    </x:fill>
    <x:fill>
      <x:patternFill patternType="solid">
        <x:fgColor rgb="FFF4F6FA"/>
      </x:patternFill>
    </x:fill>
    <x:fill>
      <x:patternFill patternType="solid">
        <x:fgColor rgb="FFE6ECF5"/>
      </x:patternFill>
    </x:fill>
    <x:fill>
      <x:patternFill patternType="solid">
        <x:fgColor rgb="FFF8F9FC"/>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DEE2E6"/>
      </x:left>
      <x:right style="thin">
        <x:color rgb="FFDEE2E6"/>
      </x:right>
      <x:top style="thin">
        <x:color rgb="FFDEE2E6"/>
      </x:top>
      <x:bottom style="thin">
        <x:color rgb="FFDEE2E6"/>
      </x:bottom>
      <x:diagonal style="none">
        <x:color rgb="FF000000"/>
      </x:diagonal>
    </x:border>
  </x:borders>
  <x:cellStyleXfs count="1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164" fontId="0" fillId="0" borderId="1" applyNumberFormat="1" applyFill="1" applyBorder="1" applyAlignment="1" applyProtection="1">
      <x:protection locked="1" hidden="0"/>
    </x:xf>
    <x:xf numFmtId="0" fontId="0" fillId="3" borderId="1" applyNumberFormat="1" applyFill="0" applyBorder="1" applyAlignment="1" applyProtection="1">
      <x:protection locked="1" hidden="0"/>
    </x:xf>
    <x:xf numFmtId="164" fontId="0" fillId="3" borderId="1" applyNumberFormat="1" applyFill="0" applyBorder="1" applyAlignment="1" applyProtection="1">
      <x:protection locked="1" hidden="0"/>
    </x:xf>
    <x:xf numFmtId="0" fontId="2" fillId="4" borderId="1" applyNumberFormat="1" applyFill="0" applyBorder="1" applyAlignment="1" applyProtection="1">
      <x:protection locked="1" hidden="0"/>
    </x:xf>
    <x:xf numFmtId="164" fontId="2" fillId="4" borderId="1" applyNumberFormat="1" applyFill="0" applyBorder="1" applyAlignment="1" applyProtection="1">
      <x:protection locked="1" hidden="0"/>
    </x:xf>
    <x:xf numFmtId="0" fontId="0" fillId="0" borderId="2" applyNumberFormat="1" applyFill="1" applyBorder="1" applyAlignment="1" applyProtection="1">
      <x:protection locked="1" hidden="0"/>
    </x:xf>
    <x:xf numFmtId="165" fontId="0" fillId="0" borderId="2" applyNumberFormat="1" applyFill="1" applyBorder="1" applyAlignment="1" applyProtection="1">
      <x:protection locked="1" hidden="0"/>
    </x:xf>
    <x:xf numFmtId="0" fontId="0" fillId="5" borderId="2" applyNumberFormat="1" applyFill="0" applyBorder="1" applyAlignment="1" applyProtection="1">
      <x:protection locked="1" hidden="0"/>
    </x:xf>
    <x:xf numFmtId="165" fontId="0" fillId="5" borderId="2" applyNumberFormat="1" applyFill="0" applyBorder="1"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2"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2"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1" hidden="0"/>
    </x:xf>
    <x:xf numFmtId="165" fontId="0" fillId="0" borderId="2" xfId="0" applyNumberFormat="1" applyFill="1" applyBorder="1" applyAlignment="1" applyProtection="1">
      <x:alignment horizontal="general" vertical="top" textRotation="0" wrapText="0" indent="0" relativeIndent="0" justifyLastLine="0" shrinkToFit="0" readingOrder="0"/>
      <x:protection locked="1" hidden="0"/>
    </x:xf>
    <x:xf numFmtId="0" fontId="0" fillId="5" borderId="2" xfId="0" applyNumberFormat="1" applyFill="0" applyBorder="1" applyAlignment="1" applyProtection="1">
      <x:alignment horizontal="general" vertical="top" textRotation="0" wrapText="0" indent="0" relativeIndent="0" justifyLastLine="0" shrinkToFit="0" readingOrder="0"/>
      <x:protection locked="1" hidden="0"/>
    </x:xf>
    <x:xf numFmtId="0" fontId="0" fillId="5" borderId="2" xfId="0" applyNumberFormat="1" applyFill="0" applyBorder="1" applyAlignment="1" applyProtection="1">
      <x:alignment horizontal="general" vertical="top" textRotation="0" wrapText="1" indent="0" relativeIndent="0" justifyLastLine="0" shrinkToFit="0" readingOrder="0"/>
      <x:protection locked="1" hidden="0"/>
    </x:xf>
    <x:xf numFmtId="165" fontId="0" fillId="5" borderId="2" xfId="0" applyNumberFormat="1" applyFill="0" applyBorder="1" applyAlignment="1" applyProtection="1">
      <x:alignment horizontal="general" vertical="top" textRotation="0" wrapText="0" indent="0" relativeIndent="0" justifyLastLine="0" shrinkToFit="0" readingOrder="0"/>
      <x:protection locked="1" hidden="0"/>
    </x:xf>
  </x:cellXfs>
  <x:cellStyles count="1">
    <x:cellStyle name="Normal" xfId="0" builtinId="0"/>
  </x:cellStyles>
  <x:dxfs count="9">
    <x:dxf>
      <x:fill>
        <x:patternFill patternType="solid">
          <x:fgColor auto="1"/>
          <x:bgColor rgb="FFD5F0D5"/>
        </x:patternFill>
      </x:fill>
    </x:dxf>
    <x:dxf>
      <x:fill>
        <x:patternFill patternType="solid">
          <x:fgColor auto="1"/>
          <x:bgColor rgb="FFFFF3CD"/>
        </x:patternFill>
      </x:fill>
    </x:dxf>
    <x:dxf>
      <x:fill>
        <x:patternFill patternType="solid">
          <x:fgColor auto="1"/>
          <x:bgColor rgb="FFF8D7DA"/>
        </x:patternFill>
      </x:fill>
    </x:dxf>
    <x:dxf>
      <x:font>
        <x:color rgb="FF1A7A1A"/>
      </x:font>
      <x:fill>
        <x:patternFill patternType="solid">
          <x:fgColor auto="1"/>
          <x:bgColor rgb="FFD5F0D5"/>
        </x:patternFill>
      </x:fill>
    </x:dxf>
    <x:dxf>
      <x:font>
        <x:color rgb="FF842029"/>
      </x:font>
      <x:fill>
        <x:patternFill patternType="solid">
          <x:fgColor auto="1"/>
          <x:bgColor rgb="FFF8D7DA"/>
        </x:patternFill>
      </x:fill>
    </x:dxf>
    <x:dxf>
      <x:font>
        <x:color rgb="FF664D03"/>
      </x:font>
      <x:fill>
        <x:patternFill patternType="solid">
          <x:fgColor auto="1"/>
          <x:bgColor rgb="FFFFF3CD"/>
        </x:patternFill>
      </x:fill>
    </x:dxf>
    <x:dxf>
      <x:font>
        <x:color rgb="FF41464B"/>
      </x:font>
      <x:fill>
        <x:patternFill patternType="solid">
          <x:fgColor auto="1"/>
          <x:bgColor rgb="FFE2E3E5"/>
        </x:patternFill>
      </x:fill>
    </x:dxf>
    <x:dxf>
      <x:fill>
        <x:patternFill patternType="solid">
          <x:fgColor auto="1"/>
          <x:bgColor rgb="FFCFE2FF"/>
        </x:patternFill>
      </x:fill>
    </x:dxf>
    <x:dxf>
      <x:fill>
        <x:patternFill patternType="solid">
          <x:fgColor auto="1"/>
          <x:bgColor rgb="FFE2E3E5"/>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calcChain" Target="/xl/calcChain.xml" Id="rId6"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3"/>
  <x:sheetViews>
    <x:sheetView workbookViewId="0">
      <x:pane xSplit="0" ySplit="16" topLeftCell="A17" activePane="bottomLeft" state="frozenSplit"/>
    </x:sheetView>
  </x:sheetViews>
  <x:sheetFormatPr defaultRowHeight="15"/>
  <x:cols>
    <x:col min="1" max="1" width="40.710625" style="0" customWidth="1"/>
    <x:col min="2" max="5" width="10.710625" style="0" customWidth="1"/>
    <x:col min="6" max="7" width="12.710625" style="0" customWidth="1"/>
  </x:cols>
  <x:sheetData>
    <x:row r="1" spans="1:7">
      <x:c r="A1" s="1" t="s">
        <x:v>0</x:v>
      </x:c>
    </x:row>
    <x:row r="3" spans="1:7">
      <x:c r="A3" s="2" t="s">
        <x:v>1</x:v>
      </x:c>
      <x:c r="B3" s="0" t="s">
        <x:v>2</x:v>
      </x:c>
    </x:row>
    <x:row r="4" spans="1:7">
      <x:c r="A4" s="2" t="s">
        <x:v>3</x:v>
      </x:c>
      <x:c r="B4" s="0" t="s">
        <x:v>4</x:v>
      </x:c>
    </x:row>
    <x:row r="5" spans="1:7">
      <x:c r="A5" s="2" t="s">
        <x:v>5</x:v>
      </x:c>
      <x:c r="B5" s="0" t="s">
        <x:v>6</x:v>
      </x:c>
    </x:row>
    <x:row r="7" spans="1:7">
      <x:c r="A7" s="3" t="s">
        <x:v>7</x:v>
      </x:c>
    </x:row>
    <x:row r="8" spans="1:7">
      <x:c r="A8" s="0" t="s">
        <x:v>8</x:v>
      </x:c>
      <x:c r="B8" s="0" t="s">
        <x:v>9</x:v>
      </x:c>
    </x:row>
    <x:row r="9" spans="1:7">
      <x:c r="A9" s="0" t="s">
        <x:v>8</x:v>
      </x:c>
      <x:c r="B9" s="0" t="s">
        <x:v>10</x:v>
      </x:c>
    </x:row>
    <x:row r="10" spans="1:7">
      <x:c r="A10" s="0" t="s">
        <x:v>8</x:v>
      </x:c>
      <x:c r="B10" s="0" t="s">
        <x:v>11</x:v>
      </x:c>
    </x:row>
    <x:row r="11" spans="1:7">
      <x:c r="A11" s="0" t="s">
        <x:v>8</x:v>
      </x:c>
      <x:c r="B11" s="0" t="s">
        <x:v>12</x:v>
      </x:c>
    </x:row>
    <x:row r="12" spans="1:7">
      <x:c r="A12" s="0" t="s">
        <x:v>8</x:v>
      </x:c>
      <x:c r="B12" s="0" t="s">
        <x:v>13</x:v>
      </x:c>
    </x:row>
    <x:row r="13" spans="1:7">
      <x:c r="A13" s="0" t="s">
        <x:v>8</x:v>
      </x:c>
      <x:c r="B13" s="0" t="s">
        <x:v>14</x:v>
      </x:c>
    </x:row>
    <x:row r="15" spans="1:7">
      <x:c r="A15" s="3" t="s">
        <x:v>15</x:v>
      </x:c>
    </x:row>
    <x:row r="16" spans="1:7">
      <x:c r="A16" s="4" t="s">
        <x:v>16</x:v>
      </x:c>
      <x:c r="B16" s="4" t="s">
        <x:v>17</x:v>
      </x:c>
      <x:c r="C16" s="4" t="s">
        <x:v>18</x:v>
      </x:c>
      <x:c r="D16" s="4" t="s">
        <x:v>19</x:v>
      </x:c>
      <x:c r="E16" s="4" t="s">
        <x:v>20</x:v>
      </x:c>
      <x:c r="F16" s="4" t="s">
        <x:v>21</x:v>
      </x:c>
      <x:c r="G16" s="4" t="s">
        <x:v>22</x:v>
      </x:c>
    </x:row>
    <x:row r="17" spans="1:7">
      <x:c r="A17" s="5" t="s">
        <x:v>23</x:v>
      </x:c>
      <x:c r="B17" s="5">
        <x:v>8</x:v>
      </x:c>
      <x:c r="C17" s="5">
        <x:f>COUNTIFS('Test Cases'!B:B,"Till Management",'Test Cases'!G:G,"Pass")</x:f>
      </x:c>
      <x:c r="D17" s="5">
        <x:f>COUNTIFS('Test Cases'!B:B,"Till Management",'Test Cases'!G:G,"Fail")</x:f>
      </x:c>
      <x:c r="E17" s="5">
        <x:f>COUNTIFS('Test Cases'!B:B,"Till Management",'Test Cases'!G:G,"Blocked")</x:f>
      </x:c>
      <x:c r="F17" s="5">
        <x:f>COUNTIFS('Test Cases'!B:B,"Till Management",'Test Cases'!G:G,"Not Tested")</x:f>
      </x:c>
      <x:c r="G17" s="6">
        <x:f>IF(B17=0,0,(COUNTIFS('Test Cases'!B:B,"Till Management",'Test Cases'!G:G,"&lt;&gt;Not Tested")/B17))</x:f>
      </x:c>
    </x:row>
    <x:row r="18" spans="1:7">
      <x:c r="A18" s="7" t="s">
        <x:v>24</x:v>
      </x:c>
      <x:c r="B18" s="7">
        <x:v>10</x:v>
      </x:c>
      <x:c r="C18" s="7">
        <x:f>COUNTIFS('Test Cases'!B:B,"Booking Creation",'Test Cases'!G:G,"Pass")</x:f>
      </x:c>
      <x:c r="D18" s="7">
        <x:f>COUNTIFS('Test Cases'!B:B,"Booking Creation",'Test Cases'!G:G,"Fail")</x:f>
      </x:c>
      <x:c r="E18" s="7">
        <x:f>COUNTIFS('Test Cases'!B:B,"Booking Creation",'Test Cases'!G:G,"Blocked")</x:f>
      </x:c>
      <x:c r="F18" s="7">
        <x:f>COUNTIFS('Test Cases'!B:B,"Booking Creation",'Test Cases'!G:G,"Not Tested")</x:f>
      </x:c>
      <x:c r="G18" s="8">
        <x:f>IF(B18=0,0,(COUNTIFS('Test Cases'!B:B,"Booking Creation",'Test Cases'!G:G,"&lt;&gt;Not Tested")/B18))</x:f>
      </x:c>
    </x:row>
    <x:row r="19" spans="1:7">
      <x:c r="A19" s="5" t="s">
        <x:v>25</x:v>
      </x:c>
      <x:c r="B19" s="5">
        <x:v>5</x:v>
      </x:c>
      <x:c r="C19" s="5">
        <x:f>COUNTIFS('Test Cases'!B:B,"Booking List",'Test Cases'!G:G,"Pass")</x:f>
      </x:c>
      <x:c r="D19" s="5">
        <x:f>COUNTIFS('Test Cases'!B:B,"Booking List",'Test Cases'!G:G,"Fail")</x:f>
      </x:c>
      <x:c r="E19" s="5">
        <x:f>COUNTIFS('Test Cases'!B:B,"Booking List",'Test Cases'!G:G,"Blocked")</x:f>
      </x:c>
      <x:c r="F19" s="5">
        <x:f>COUNTIFS('Test Cases'!B:B,"Booking List",'Test Cases'!G:G,"Not Tested")</x:f>
      </x:c>
      <x:c r="G19" s="6">
        <x:f>IF(B19=0,0,(COUNTIFS('Test Cases'!B:B,"Booking List",'Test Cases'!G:G,"&lt;&gt;Not Tested")/B19))</x:f>
      </x:c>
    </x:row>
    <x:row r="20" spans="1:7">
      <x:c r="A20" s="7" t="s">
        <x:v>26</x:v>
      </x:c>
      <x:c r="B20" s="7">
        <x:v>10</x:v>
      </x:c>
      <x:c r="C20" s="7">
        <x:f>COUNTIFS('Test Cases'!B:B,"Booking Details",'Test Cases'!G:G,"Pass")</x:f>
      </x:c>
      <x:c r="D20" s="7">
        <x:f>COUNTIFS('Test Cases'!B:B,"Booking Details",'Test Cases'!G:G,"Fail")</x:f>
      </x:c>
      <x:c r="E20" s="7">
        <x:f>COUNTIFS('Test Cases'!B:B,"Booking Details",'Test Cases'!G:G,"Blocked")</x:f>
      </x:c>
      <x:c r="F20" s="7">
        <x:f>COUNTIFS('Test Cases'!B:B,"Booking Details",'Test Cases'!G:G,"Not Tested")</x:f>
      </x:c>
      <x:c r="G20" s="8">
        <x:f>IF(B20=0,0,(COUNTIFS('Test Cases'!B:B,"Booking Details",'Test Cases'!G:G,"&lt;&gt;Not Tested")/B20))</x:f>
      </x:c>
    </x:row>
    <x:row r="21" spans="1:7">
      <x:c r="A21" s="5" t="s">
        <x:v>27</x:v>
      </x:c>
      <x:c r="B21" s="5">
        <x:v>4</x:v>
      </x:c>
      <x:c r="C21" s="5">
        <x:f>COUNTIFS('Test Cases'!B:B,"Agent Commission Workflow",'Test Cases'!G:G,"Pass")</x:f>
      </x:c>
      <x:c r="D21" s="5">
        <x:f>COUNTIFS('Test Cases'!B:B,"Agent Commission Workflow",'Test Cases'!G:G,"Fail")</x:f>
      </x:c>
      <x:c r="E21" s="5">
        <x:f>COUNTIFS('Test Cases'!B:B,"Agent Commission Workflow",'Test Cases'!G:G,"Blocked")</x:f>
      </x:c>
      <x:c r="F21" s="5">
        <x:f>COUNTIFS('Test Cases'!B:B,"Agent Commission Workflow",'Test Cases'!G:G,"Not Tested")</x:f>
      </x:c>
      <x:c r="G21" s="6">
        <x:f>IF(B21=0,0,(COUNTIFS('Test Cases'!B:B,"Agent Commission Workflow",'Test Cases'!G:G,"&lt;&gt;Not Tested")/B21))</x:f>
      </x:c>
    </x:row>
    <x:row r="22" spans="1:7">
      <x:c r="A22" s="7" t="s">
        <x:v>28</x:v>
      </x:c>
      <x:c r="B22" s="7">
        <x:v>6</x:v>
      </x:c>
      <x:c r="C22" s="7">
        <x:f>COUNTIFS('Test Cases'!B:B,"Edge Cases &amp; Error Scenarios",'Test Cases'!G:G,"Pass")</x:f>
      </x:c>
      <x:c r="D22" s="7">
        <x:f>COUNTIFS('Test Cases'!B:B,"Edge Cases &amp; Error Scenarios",'Test Cases'!G:G,"Fail")</x:f>
      </x:c>
      <x:c r="E22" s="7">
        <x:f>COUNTIFS('Test Cases'!B:B,"Edge Cases &amp; Error Scenarios",'Test Cases'!G:G,"Blocked")</x:f>
      </x:c>
      <x:c r="F22" s="7">
        <x:f>COUNTIFS('Test Cases'!B:B,"Edge Cases &amp; Error Scenarios",'Test Cases'!G:G,"Not Tested")</x:f>
      </x:c>
      <x:c r="G22" s="8">
        <x:f>IF(B22=0,0,(COUNTIFS('Test Cases'!B:B,"Edge Cases &amp; Error Scenarios",'Test Cases'!G:G,"&lt;&gt;Not Tested")/B22))</x:f>
      </x:c>
    </x:row>
    <x:row r="23" spans="1:7">
      <x:c r="A23" s="9" t="s">
        <x:v>29</x:v>
      </x:c>
      <x:c r="B23" s="9">
        <x:f>SUM(B17:B22)</x:f>
      </x:c>
      <x:c r="C23" s="9">
        <x:f>SUM(C17:C22)</x:f>
      </x:c>
      <x:c r="D23" s="9">
        <x:f>SUM(D17:D22)</x:f>
      </x:c>
      <x:c r="E23" s="9">
        <x:f>SUM(E17:E22)</x:f>
      </x:c>
      <x:c r="F23" s="9">
        <x:f>SUM(F17:F22)</x:f>
      </x:c>
      <x:c r="G23" s="10">
        <x:f>IF(B23=0,0,(B23-F23)/B23)</x:f>
      </x:c>
    </x:row>
  </x:sheetData>
  <x:mergeCells count="10">
    <x:mergeCell ref="A1:G1"/>
    <x:mergeCell ref="B3:G3"/>
    <x:mergeCell ref="B4:G4"/>
    <x:mergeCell ref="B5:G5"/>
    <x:mergeCell ref="B8:G8"/>
    <x:mergeCell ref="B9:G9"/>
    <x:mergeCell ref="B10:G10"/>
    <x:mergeCell ref="B11:G11"/>
    <x:mergeCell ref="B12:G12"/>
    <x:mergeCell ref="B13:G13"/>
  </x:mergeCells>
  <x:conditionalFormatting sqref="G17:G23">
    <x:cfRule type="cellIs" dxfId="0" priority="1" operator="greaterThanOrEqual">
      <x:formula>0.8</x:formula>
    </x:cfRule>
    <x:cfRule type="cellIs" dxfId="1" priority="2" operator="between">
      <x:formula>0.5</x:formula>
      <x:formula>0.79</x:formula>
    </x:cfRule>
    <x:cfRule type="cellIs" dxfId="2" priority="3" operator="lessThan">
      <x:formula>0.5</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4"/>
  <x:sheetViews>
    <x:sheetView workbookViewId="0">
      <x:pane xSplit="0" ySplit="1" topLeftCell="A2" activePane="bottomLeft" state="frozenSplit"/>
    </x:sheetView>
  </x:sheetViews>
  <x:sheetFormatPr defaultRowHeight="15"/>
  <x:cols>
    <x:col min="1" max="1" width="10.710625" style="0" customWidth="1"/>
    <x:col min="2" max="2" width="30.710625" style="0" customWidth="1"/>
    <x:col min="3" max="4" width="40.710625" style="0" customWidth="1"/>
    <x:col min="5" max="6" width="60.710625" style="0" customWidth="1"/>
    <x:col min="7" max="7" width="14.710625" style="0" customWidth="1"/>
    <x:col min="8" max="8" width="15.710625" style="0" customWidth="1"/>
    <x:col min="9" max="9" width="12.710625" style="0" customWidth="1"/>
    <x:col min="10" max="10" width="40.710625" style="0" customWidth="1"/>
    <x:col min="11" max="11" width="10.710625" style="0" customWidth="1"/>
  </x:cols>
  <x:sheetData>
    <x:row r="1" spans="1:11">
      <x:c r="A1" s="11" t="s">
        <x:v>30</x:v>
      </x:c>
      <x:c r="B1" s="11" t="s">
        <x:v>16</x:v>
      </x:c>
      <x:c r="C1" s="11" t="s">
        <x:v>31</x:v>
      </x:c>
      <x:c r="D1" s="11" t="s">
        <x:v>32</x:v>
      </x:c>
      <x:c r="E1" s="11" t="s">
        <x:v>33</x:v>
      </x:c>
      <x:c r="F1" s="11" t="s">
        <x:v>34</x:v>
      </x:c>
      <x:c r="G1" s="11" t="s">
        <x:v>35</x:v>
      </x:c>
      <x:c r="H1" s="11" t="s">
        <x:v>36</x:v>
      </x:c>
      <x:c r="I1" s="11" t="s">
        <x:v>37</x:v>
      </x:c>
      <x:c r="J1" s="11" t="s">
        <x:v>38</x:v>
      </x:c>
      <x:c r="K1" s="11" t="s">
        <x:v>39</x:v>
      </x:c>
    </x:row>
    <x:row r="2" spans="1:11">
      <x:c r="A2" s="12" t="s">
        <x:v>40</x:v>
      </x:c>
      <x:c r="B2" s="12" t="s">
        <x:v>23</x:v>
      </x:c>
      <x:c r="C2" s="12" t="s">
        <x:v>41</x:v>
      </x:c>
      <x:c r="D2" s="13" t="s">
        <x:v>42</x:v>
      </x:c>
      <x:c r="E2" s="13" t="s">
        <x:v>43</x:v>
      </x:c>
      <x:c r="F2" s="13" t="s">
        <x:v>44</x:v>
      </x:c>
      <x:c r="G2" s="12" t="s">
        <x:v>21</x:v>
      </x:c>
      <x:c r="H2" s="12" t="s">
        <x:v>42</x:v>
      </x:c>
      <x:c r="I2" s="14" t="s">
        <x:v>42</x:v>
      </x:c>
      <x:c r="J2" s="12" t="s">
        <x:v>42</x:v>
      </x:c>
      <x:c r="K2" s="12" t="s">
        <x:v>45</x:v>
      </x:c>
    </x:row>
    <x:row r="3" spans="1:11">
      <x:c r="A3" s="15" t="s">
        <x:v>46</x:v>
      </x:c>
      <x:c r="B3" s="15" t="s">
        <x:v>23</x:v>
      </x:c>
      <x:c r="C3" s="15" t="s">
        <x:v>47</x:v>
      </x:c>
      <x:c r="D3" s="16" t="s">
        <x:v>48</x:v>
      </x:c>
      <x:c r="E3" s="16" t="s">
        <x:v>49</x:v>
      </x:c>
      <x:c r="F3" s="16" t="s">
        <x:v>50</x:v>
      </x:c>
      <x:c r="G3" s="15" t="s">
        <x:v>21</x:v>
      </x:c>
      <x:c r="H3" s="15" t="s">
        <x:v>42</x:v>
      </x:c>
      <x:c r="I3" s="17" t="s">
        <x:v>42</x:v>
      </x:c>
      <x:c r="J3" s="15" t="s">
        <x:v>42</x:v>
      </x:c>
      <x:c r="K3" s="15" t="s">
        <x:v>45</x:v>
      </x:c>
    </x:row>
    <x:row r="4" spans="1:11">
      <x:c r="A4" s="12" t="s">
        <x:v>51</x:v>
      </x:c>
      <x:c r="B4" s="12" t="s">
        <x:v>23</x:v>
      </x:c>
      <x:c r="C4" s="12" t="s">
        <x:v>52</x:v>
      </x:c>
      <x:c r="D4" s="13" t="s">
        <x:v>53</x:v>
      </x:c>
      <x:c r="E4" s="13" t="s">
        <x:v>54</x:v>
      </x:c>
      <x:c r="F4" s="13" t="s">
        <x:v>55</x:v>
      </x:c>
      <x:c r="G4" s="12" t="s">
        <x:v>21</x:v>
      </x:c>
      <x:c r="H4" s="12" t="s">
        <x:v>42</x:v>
      </x:c>
      <x:c r="I4" s="14" t="s">
        <x:v>42</x:v>
      </x:c>
      <x:c r="J4" s="12" t="s">
        <x:v>42</x:v>
      </x:c>
      <x:c r="K4" s="12" t="s">
        <x:v>45</x:v>
      </x:c>
    </x:row>
    <x:row r="5" spans="1:11">
      <x:c r="A5" s="15" t="s">
        <x:v>56</x:v>
      </x:c>
      <x:c r="B5" s="15" t="s">
        <x:v>23</x:v>
      </x:c>
      <x:c r="C5" s="15" t="s">
        <x:v>57</x:v>
      </x:c>
      <x:c r="D5" s="16" t="s">
        <x:v>58</x:v>
      </x:c>
      <x:c r="E5" s="16" t="s">
        <x:v>59</x:v>
      </x:c>
      <x:c r="F5" s="16" t="s">
        <x:v>60</x:v>
      </x:c>
      <x:c r="G5" s="15" t="s">
        <x:v>21</x:v>
      </x:c>
      <x:c r="H5" s="15" t="s">
        <x:v>42</x:v>
      </x:c>
      <x:c r="I5" s="17" t="s">
        <x:v>42</x:v>
      </x:c>
      <x:c r="J5" s="15" t="s">
        <x:v>42</x:v>
      </x:c>
      <x:c r="K5" s="15" t="s">
        <x:v>45</x:v>
      </x:c>
    </x:row>
    <x:row r="6" spans="1:11">
      <x:c r="A6" s="12" t="s">
        <x:v>61</x:v>
      </x:c>
      <x:c r="B6" s="12" t="s">
        <x:v>23</x:v>
      </x:c>
      <x:c r="C6" s="12" t="s">
        <x:v>62</x:v>
      </x:c>
      <x:c r="D6" s="13" t="s">
        <x:v>58</x:v>
      </x:c>
      <x:c r="E6" s="13" t="s">
        <x:v>63</x:v>
      </x:c>
      <x:c r="F6" s="13" t="s">
        <x:v>64</x:v>
      </x:c>
      <x:c r="G6" s="12" t="s">
        <x:v>21</x:v>
      </x:c>
      <x:c r="H6" s="12" t="s">
        <x:v>42</x:v>
      </x:c>
      <x:c r="I6" s="14" t="s">
        <x:v>42</x:v>
      </x:c>
      <x:c r="J6" s="12" t="s">
        <x:v>42</x:v>
      </x:c>
      <x:c r="K6" s="12" t="s">
        <x:v>45</x:v>
      </x:c>
    </x:row>
    <x:row r="7" spans="1:11">
      <x:c r="A7" s="15" t="s">
        <x:v>65</x:v>
      </x:c>
      <x:c r="B7" s="15" t="s">
        <x:v>23</x:v>
      </x:c>
      <x:c r="C7" s="15" t="s">
        <x:v>66</x:v>
      </x:c>
      <x:c r="D7" s="16" t="s">
        <x:v>67</x:v>
      </x:c>
      <x:c r="E7" s="16" t="s">
        <x:v>68</x:v>
      </x:c>
      <x:c r="F7" s="16" t="s">
        <x:v>69</x:v>
      </x:c>
      <x:c r="G7" s="15" t="s">
        <x:v>21</x:v>
      </x:c>
      <x:c r="H7" s="15" t="s">
        <x:v>42</x:v>
      </x:c>
      <x:c r="I7" s="17" t="s">
        <x:v>42</x:v>
      </x:c>
      <x:c r="J7" s="15" t="s">
        <x:v>42</x:v>
      </x:c>
      <x:c r="K7" s="15" t="s">
        <x:v>45</x:v>
      </x:c>
    </x:row>
    <x:row r="8" spans="1:11">
      <x:c r="A8" s="12" t="s">
        <x:v>70</x:v>
      </x:c>
      <x:c r="B8" s="12" t="s">
        <x:v>23</x:v>
      </x:c>
      <x:c r="C8" s="12" t="s">
        <x:v>71</x:v>
      </x:c>
      <x:c r="D8" s="13" t="s">
        <x:v>72</x:v>
      </x:c>
      <x:c r="E8" s="13" t="s">
        <x:v>73</x:v>
      </x:c>
      <x:c r="F8" s="13" t="s">
        <x:v>74</x:v>
      </x:c>
      <x:c r="G8" s="12" t="s">
        <x:v>21</x:v>
      </x:c>
      <x:c r="H8" s="12" t="s">
        <x:v>42</x:v>
      </x:c>
      <x:c r="I8" s="14" t="s">
        <x:v>42</x:v>
      </x:c>
      <x:c r="J8" s="12" t="s">
        <x:v>42</x:v>
      </x:c>
      <x:c r="K8" s="12" t="s">
        <x:v>45</x:v>
      </x:c>
    </x:row>
    <x:row r="9" spans="1:11">
      <x:c r="A9" s="15" t="s">
        <x:v>75</x:v>
      </x:c>
      <x:c r="B9" s="15" t="s">
        <x:v>23</x:v>
      </x:c>
      <x:c r="C9" s="15" t="s">
        <x:v>76</x:v>
      </x:c>
      <x:c r="D9" s="16" t="s">
        <x:v>77</x:v>
      </x:c>
      <x:c r="E9" s="16" t="s">
        <x:v>78</x:v>
      </x:c>
      <x:c r="F9" s="16" t="s">
        <x:v>79</x:v>
      </x:c>
      <x:c r="G9" s="15" t="s">
        <x:v>21</x:v>
      </x:c>
      <x:c r="H9" s="15" t="s">
        <x:v>42</x:v>
      </x:c>
      <x:c r="I9" s="17" t="s">
        <x:v>42</x:v>
      </x:c>
      <x:c r="J9" s="15" t="s">
        <x:v>42</x:v>
      </x:c>
      <x:c r="K9" s="15" t="s">
        <x:v>45</x:v>
      </x:c>
    </x:row>
    <x:row r="10" spans="1:11">
      <x:c r="A10" s="12" t="s">
        <x:v>80</x:v>
      </x:c>
      <x:c r="B10" s="12" t="s">
        <x:v>24</x:v>
      </x:c>
      <x:c r="C10" s="12" t="s">
        <x:v>81</x:v>
      </x:c>
      <x:c r="D10" s="13" t="s">
        <x:v>42</x:v>
      </x:c>
      <x:c r="E10" s="13" t="s">
        <x:v>82</x:v>
      </x:c>
      <x:c r="F10" s="13" t="s">
        <x:v>83</x:v>
      </x:c>
      <x:c r="G10" s="12" t="s">
        <x:v>21</x:v>
      </x:c>
      <x:c r="H10" s="12" t="s">
        <x:v>42</x:v>
      </x:c>
      <x:c r="I10" s="14" t="s">
        <x:v>42</x:v>
      </x:c>
      <x:c r="J10" s="12" t="s">
        <x:v>42</x:v>
      </x:c>
      <x:c r="K10" s="12" t="s">
        <x:v>45</x:v>
      </x:c>
    </x:row>
    <x:row r="11" spans="1:11">
      <x:c r="A11" s="15" t="s">
        <x:v>84</x:v>
      </x:c>
      <x:c r="B11" s="15" t="s">
        <x:v>24</x:v>
      </x:c>
      <x:c r="C11" s="15" t="s">
        <x:v>85</x:v>
      </x:c>
      <x:c r="D11" s="16" t="s">
        <x:v>42</x:v>
      </x:c>
      <x:c r="E11" s="16" t="s">
        <x:v>86</x:v>
      </x:c>
      <x:c r="F11" s="16" t="s">
        <x:v>87</x:v>
      </x:c>
      <x:c r="G11" s="15" t="s">
        <x:v>21</x:v>
      </x:c>
      <x:c r="H11" s="15" t="s">
        <x:v>42</x:v>
      </x:c>
      <x:c r="I11" s="17" t="s">
        <x:v>42</x:v>
      </x:c>
      <x:c r="J11" s="15" t="s">
        <x:v>42</x:v>
      </x:c>
      <x:c r="K11" s="15" t="s">
        <x:v>45</x:v>
      </x:c>
    </x:row>
    <x:row r="12" spans="1:11">
      <x:c r="A12" s="12" t="s">
        <x:v>88</x:v>
      </x:c>
      <x:c r="B12" s="12" t="s">
        <x:v>24</x:v>
      </x:c>
      <x:c r="C12" s="12" t="s">
        <x:v>89</x:v>
      </x:c>
      <x:c r="D12" s="13" t="s">
        <x:v>42</x:v>
      </x:c>
      <x:c r="E12" s="13" t="s">
        <x:v>90</x:v>
      </x:c>
      <x:c r="F12" s="13" t="s">
        <x:v>91</x:v>
      </x:c>
      <x:c r="G12" s="12" t="s">
        <x:v>21</x:v>
      </x:c>
      <x:c r="H12" s="12" t="s">
        <x:v>42</x:v>
      </x:c>
      <x:c r="I12" s="14" t="s">
        <x:v>42</x:v>
      </x:c>
      <x:c r="J12" s="12" t="s">
        <x:v>42</x:v>
      </x:c>
      <x:c r="K12" s="12" t="s">
        <x:v>45</x:v>
      </x:c>
    </x:row>
    <x:row r="13" spans="1:11">
      <x:c r="A13" s="15" t="s">
        <x:v>92</x:v>
      </x:c>
      <x:c r="B13" s="15" t="s">
        <x:v>24</x:v>
      </x:c>
      <x:c r="C13" s="15" t="s">
        <x:v>93</x:v>
      </x:c>
      <x:c r="D13" s="16" t="s">
        <x:v>42</x:v>
      </x:c>
      <x:c r="E13" s="16" t="s">
        <x:v>94</x:v>
      </x:c>
      <x:c r="F13" s="16" t="s">
        <x:v>95</x:v>
      </x:c>
      <x:c r="G13" s="15" t="s">
        <x:v>21</x:v>
      </x:c>
      <x:c r="H13" s="15" t="s">
        <x:v>42</x:v>
      </x:c>
      <x:c r="I13" s="17" t="s">
        <x:v>42</x:v>
      </x:c>
      <x:c r="J13" s="15" t="s">
        <x:v>42</x:v>
      </x:c>
      <x:c r="K13" s="15" t="s">
        <x:v>45</x:v>
      </x:c>
    </x:row>
    <x:row r="14" spans="1:11">
      <x:c r="A14" s="12" t="s">
        <x:v>96</x:v>
      </x:c>
      <x:c r="B14" s="12" t="s">
        <x:v>24</x:v>
      </x:c>
      <x:c r="C14" s="12" t="s">
        <x:v>97</x:v>
      </x:c>
      <x:c r="D14" s="13" t="s">
        <x:v>42</x:v>
      </x:c>
      <x:c r="E14" s="13" t="s">
        <x:v>98</x:v>
      </x:c>
      <x:c r="F14" s="13" t="s">
        <x:v>99</x:v>
      </x:c>
      <x:c r="G14" s="12" t="s">
        <x:v>21</x:v>
      </x:c>
      <x:c r="H14" s="12" t="s">
        <x:v>42</x:v>
      </x:c>
      <x:c r="I14" s="14" t="s">
        <x:v>42</x:v>
      </x:c>
      <x:c r="J14" s="12" t="s">
        <x:v>42</x:v>
      </x:c>
      <x:c r="K14" s="12" t="s">
        <x:v>45</x:v>
      </x:c>
    </x:row>
    <x:row r="15" spans="1:11">
      <x:c r="A15" s="15" t="s">
        <x:v>100</x:v>
      </x:c>
      <x:c r="B15" s="15" t="s">
        <x:v>24</x:v>
      </x:c>
      <x:c r="C15" s="15" t="s">
        <x:v>101</x:v>
      </x:c>
      <x:c r="D15" s="16" t="s">
        <x:v>42</x:v>
      </x:c>
      <x:c r="E15" s="16" t="s">
        <x:v>102</x:v>
      </x:c>
      <x:c r="F15" s="16" t="s">
        <x:v>103</x:v>
      </x:c>
      <x:c r="G15" s="15" t="s">
        <x:v>21</x:v>
      </x:c>
      <x:c r="H15" s="15" t="s">
        <x:v>42</x:v>
      </x:c>
      <x:c r="I15" s="17" t="s">
        <x:v>42</x:v>
      </x:c>
      <x:c r="J15" s="15" t="s">
        <x:v>42</x:v>
      </x:c>
      <x:c r="K15" s="15" t="s">
        <x:v>45</x:v>
      </x:c>
    </x:row>
    <x:row r="16" spans="1:11">
      <x:c r="A16" s="12" t="s">
        <x:v>104</x:v>
      </x:c>
      <x:c r="B16" s="12" t="s">
        <x:v>24</x:v>
      </x:c>
      <x:c r="C16" s="12" t="s">
        <x:v>105</x:v>
      </x:c>
      <x:c r="D16" s="13" t="s">
        <x:v>42</x:v>
      </x:c>
      <x:c r="E16" s="13" t="s">
        <x:v>106</x:v>
      </x:c>
      <x:c r="F16" s="13" t="s">
        <x:v>107</x:v>
      </x:c>
      <x:c r="G16" s="12" t="s">
        <x:v>21</x:v>
      </x:c>
      <x:c r="H16" s="12" t="s">
        <x:v>42</x:v>
      </x:c>
      <x:c r="I16" s="14" t="s">
        <x:v>42</x:v>
      </x:c>
      <x:c r="J16" s="12" t="s">
        <x:v>42</x:v>
      </x:c>
      <x:c r="K16" s="12" t="s">
        <x:v>45</x:v>
      </x:c>
    </x:row>
    <x:row r="17" spans="1:11">
      <x:c r="A17" s="15" t="s">
        <x:v>108</x:v>
      </x:c>
      <x:c r="B17" s="15" t="s">
        <x:v>24</x:v>
      </x:c>
      <x:c r="C17" s="15" t="s">
        <x:v>109</x:v>
      </x:c>
      <x:c r="D17" s="16" t="s">
        <x:v>42</x:v>
      </x:c>
      <x:c r="E17" s="16" t="s">
        <x:v>110</x:v>
      </x:c>
      <x:c r="F17" s="16" t="s">
        <x:v>111</x:v>
      </x:c>
      <x:c r="G17" s="15" t="s">
        <x:v>21</x:v>
      </x:c>
      <x:c r="H17" s="15" t="s">
        <x:v>42</x:v>
      </x:c>
      <x:c r="I17" s="17" t="s">
        <x:v>42</x:v>
      </x:c>
      <x:c r="J17" s="15" t="s">
        <x:v>42</x:v>
      </x:c>
      <x:c r="K17" s="15" t="s">
        <x:v>45</x:v>
      </x:c>
    </x:row>
    <x:row r="18" spans="1:11">
      <x:c r="A18" s="12" t="s">
        <x:v>112</x:v>
      </x:c>
      <x:c r="B18" s="12" t="s">
        <x:v>24</x:v>
      </x:c>
      <x:c r="C18" s="12" t="s">
        <x:v>113</x:v>
      </x:c>
      <x:c r="D18" s="13" t="s">
        <x:v>42</x:v>
      </x:c>
      <x:c r="E18" s="13" t="s">
        <x:v>114</x:v>
      </x:c>
      <x:c r="F18" s="13" t="s">
        <x:v>115</x:v>
      </x:c>
      <x:c r="G18" s="12" t="s">
        <x:v>21</x:v>
      </x:c>
      <x:c r="H18" s="12" t="s">
        <x:v>42</x:v>
      </x:c>
      <x:c r="I18" s="14" t="s">
        <x:v>42</x:v>
      </x:c>
      <x:c r="J18" s="12" t="s">
        <x:v>42</x:v>
      </x:c>
      <x:c r="K18" s="12" t="s">
        <x:v>45</x:v>
      </x:c>
    </x:row>
    <x:row r="19" spans="1:11">
      <x:c r="A19" s="15" t="s">
        <x:v>116</x:v>
      </x:c>
      <x:c r="B19" s="15" t="s">
        <x:v>24</x:v>
      </x:c>
      <x:c r="C19" s="15" t="s">
        <x:v>117</x:v>
      </x:c>
      <x:c r="D19" s="16" t="s">
        <x:v>42</x:v>
      </x:c>
      <x:c r="E19" s="16" t="s">
        <x:v>118</x:v>
      </x:c>
      <x:c r="F19" s="16" t="s">
        <x:v>119</x:v>
      </x:c>
      <x:c r="G19" s="15" t="s">
        <x:v>21</x:v>
      </x:c>
      <x:c r="H19" s="15" t="s">
        <x:v>42</x:v>
      </x:c>
      <x:c r="I19" s="17" t="s">
        <x:v>42</x:v>
      </x:c>
      <x:c r="J19" s="15" t="s">
        <x:v>42</x:v>
      </x:c>
      <x:c r="K19" s="15" t="s">
        <x:v>45</x:v>
      </x:c>
    </x:row>
    <x:row r="20" spans="1:11">
      <x:c r="A20" s="12" t="s">
        <x:v>120</x:v>
      </x:c>
      <x:c r="B20" s="12" t="s">
        <x:v>25</x:v>
      </x:c>
      <x:c r="C20" s="12" t="s">
        <x:v>121</x:v>
      </x:c>
      <x:c r="D20" s="13" t="s">
        <x:v>42</x:v>
      </x:c>
      <x:c r="E20" s="13" t="s">
        <x:v>122</x:v>
      </x:c>
      <x:c r="F20" s="13" t="s">
        <x:v>123</x:v>
      </x:c>
      <x:c r="G20" s="12" t="s">
        <x:v>21</x:v>
      </x:c>
      <x:c r="H20" s="12" t="s">
        <x:v>42</x:v>
      </x:c>
      <x:c r="I20" s="14" t="s">
        <x:v>42</x:v>
      </x:c>
      <x:c r="J20" s="12" t="s">
        <x:v>42</x:v>
      </x:c>
      <x:c r="K20" s="12" t="s">
        <x:v>45</x:v>
      </x:c>
    </x:row>
    <x:row r="21" spans="1:11">
      <x:c r="A21" s="15" t="s">
        <x:v>124</x:v>
      </x:c>
      <x:c r="B21" s="15" t="s">
        <x:v>25</x:v>
      </x:c>
      <x:c r="C21" s="15" t="s">
        <x:v>125</x:v>
      </x:c>
      <x:c r="D21" s="16" t="s">
        <x:v>42</x:v>
      </x:c>
      <x:c r="E21" s="16" t="s">
        <x:v>126</x:v>
      </x:c>
      <x:c r="F21" s="16" t="s">
        <x:v>127</x:v>
      </x:c>
      <x:c r="G21" s="15" t="s">
        <x:v>21</x:v>
      </x:c>
      <x:c r="H21" s="15" t="s">
        <x:v>42</x:v>
      </x:c>
      <x:c r="I21" s="17" t="s">
        <x:v>42</x:v>
      </x:c>
      <x:c r="J21" s="15" t="s">
        <x:v>42</x:v>
      </x:c>
      <x:c r="K21" s="15" t="s">
        <x:v>45</x:v>
      </x:c>
    </x:row>
    <x:row r="22" spans="1:11">
      <x:c r="A22" s="12" t="s">
        <x:v>128</x:v>
      </x:c>
      <x:c r="B22" s="12" t="s">
        <x:v>25</x:v>
      </x:c>
      <x:c r="C22" s="12" t="s">
        <x:v>129</x:v>
      </x:c>
      <x:c r="D22" s="13" t="s">
        <x:v>42</x:v>
      </x:c>
      <x:c r="E22" s="13" t="s">
        <x:v>130</x:v>
      </x:c>
      <x:c r="F22" s="13" t="s">
        <x:v>131</x:v>
      </x:c>
      <x:c r="G22" s="12" t="s">
        <x:v>21</x:v>
      </x:c>
      <x:c r="H22" s="12" t="s">
        <x:v>42</x:v>
      </x:c>
      <x:c r="I22" s="14" t="s">
        <x:v>42</x:v>
      </x:c>
      <x:c r="J22" s="12" t="s">
        <x:v>42</x:v>
      </x:c>
      <x:c r="K22" s="12" t="s">
        <x:v>45</x:v>
      </x:c>
    </x:row>
    <x:row r="23" spans="1:11">
      <x:c r="A23" s="15" t="s">
        <x:v>132</x:v>
      </x:c>
      <x:c r="B23" s="15" t="s">
        <x:v>25</x:v>
      </x:c>
      <x:c r="C23" s="15" t="s">
        <x:v>133</x:v>
      </x:c>
      <x:c r="D23" s="16" t="s">
        <x:v>42</x:v>
      </x:c>
      <x:c r="E23" s="16" t="s">
        <x:v>134</x:v>
      </x:c>
      <x:c r="F23" s="16" t="s">
        <x:v>135</x:v>
      </x:c>
      <x:c r="G23" s="15" t="s">
        <x:v>21</x:v>
      </x:c>
      <x:c r="H23" s="15" t="s">
        <x:v>42</x:v>
      </x:c>
      <x:c r="I23" s="17" t="s">
        <x:v>42</x:v>
      </x:c>
      <x:c r="J23" s="15" t="s">
        <x:v>42</x:v>
      </x:c>
      <x:c r="K23" s="15" t="s">
        <x:v>45</x:v>
      </x:c>
    </x:row>
    <x:row r="24" spans="1:11">
      <x:c r="A24" s="12" t="s">
        <x:v>136</x:v>
      </x:c>
      <x:c r="B24" s="12" t="s">
        <x:v>25</x:v>
      </x:c>
      <x:c r="C24" s="12" t="s">
        <x:v>137</x:v>
      </x:c>
      <x:c r="D24" s="13" t="s">
        <x:v>42</x:v>
      </x:c>
      <x:c r="E24" s="13" t="s">
        <x:v>138</x:v>
      </x:c>
      <x:c r="F24" s="13" t="s">
        <x:v>139</x:v>
      </x:c>
      <x:c r="G24" s="12" t="s">
        <x:v>21</x:v>
      </x:c>
      <x:c r="H24" s="12" t="s">
        <x:v>42</x:v>
      </x:c>
      <x:c r="I24" s="14" t="s">
        <x:v>42</x:v>
      </x:c>
      <x:c r="J24" s="12" t="s">
        <x:v>42</x:v>
      </x:c>
      <x:c r="K24" s="12" t="s">
        <x:v>45</x:v>
      </x:c>
    </x:row>
    <x:row r="25" spans="1:11">
      <x:c r="A25" s="15" t="s">
        <x:v>140</x:v>
      </x:c>
      <x:c r="B25" s="15" t="s">
        <x:v>26</x:v>
      </x:c>
      <x:c r="C25" s="15" t="s">
        <x:v>141</x:v>
      </x:c>
      <x:c r="D25" s="16" t="s">
        <x:v>42</x:v>
      </x:c>
      <x:c r="E25" s="16" t="s">
        <x:v>142</x:v>
      </x:c>
      <x:c r="F25" s="16" t="s">
        <x:v>143</x:v>
      </x:c>
      <x:c r="G25" s="15" t="s">
        <x:v>21</x:v>
      </x:c>
      <x:c r="H25" s="15" t="s">
        <x:v>42</x:v>
      </x:c>
      <x:c r="I25" s="17" t="s">
        <x:v>42</x:v>
      </x:c>
      <x:c r="J25" s="15" t="s">
        <x:v>42</x:v>
      </x:c>
      <x:c r="K25" s="15" t="s">
        <x:v>45</x:v>
      </x:c>
    </x:row>
    <x:row r="26" spans="1:11">
      <x:c r="A26" s="12" t="s">
        <x:v>144</x:v>
      </x:c>
      <x:c r="B26" s="12" t="s">
        <x:v>26</x:v>
      </x:c>
      <x:c r="C26" s="12" t="s">
        <x:v>145</x:v>
      </x:c>
      <x:c r="D26" s="13" t="s">
        <x:v>146</x:v>
      </x:c>
      <x:c r="E26" s="13" t="s">
        <x:v>147</x:v>
      </x:c>
      <x:c r="F26" s="13" t="s">
        <x:v>148</x:v>
      </x:c>
      <x:c r="G26" s="12" t="s">
        <x:v>21</x:v>
      </x:c>
      <x:c r="H26" s="12" t="s">
        <x:v>42</x:v>
      </x:c>
      <x:c r="I26" s="14" t="s">
        <x:v>42</x:v>
      </x:c>
      <x:c r="J26" s="12" t="s">
        <x:v>42</x:v>
      </x:c>
      <x:c r="K26" s="12" t="s">
        <x:v>45</x:v>
      </x:c>
    </x:row>
    <x:row r="27" spans="1:11">
      <x:c r="A27" s="15" t="s">
        <x:v>149</x:v>
      </x:c>
      <x:c r="B27" s="15" t="s">
        <x:v>26</x:v>
      </x:c>
      <x:c r="C27" s="15" t="s">
        <x:v>150</x:v>
      </x:c>
      <x:c r="D27" s="16" t="s">
        <x:v>151</x:v>
      </x:c>
      <x:c r="E27" s="16" t="s">
        <x:v>152</x:v>
      </x:c>
      <x:c r="F27" s="16" t="s">
        <x:v>153</x:v>
      </x:c>
      <x:c r="G27" s="15" t="s">
        <x:v>21</x:v>
      </x:c>
      <x:c r="H27" s="15" t="s">
        <x:v>42</x:v>
      </x:c>
      <x:c r="I27" s="17" t="s">
        <x:v>42</x:v>
      </x:c>
      <x:c r="J27" s="15" t="s">
        <x:v>42</x:v>
      </x:c>
      <x:c r="K27" s="15" t="s">
        <x:v>45</x:v>
      </x:c>
    </x:row>
    <x:row r="28" spans="1:11">
      <x:c r="A28" s="12" t="s">
        <x:v>154</x:v>
      </x:c>
      <x:c r="B28" s="12" t="s">
        <x:v>26</x:v>
      </x:c>
      <x:c r="C28" s="12" t="s">
        <x:v>155</x:v>
      </x:c>
      <x:c r="D28" s="13" t="s">
        <x:v>42</x:v>
      </x:c>
      <x:c r="E28" s="13" t="s">
        <x:v>156</x:v>
      </x:c>
      <x:c r="F28" s="13" t="s">
        <x:v>157</x:v>
      </x:c>
      <x:c r="G28" s="12" t="s">
        <x:v>21</x:v>
      </x:c>
      <x:c r="H28" s="12" t="s">
        <x:v>42</x:v>
      </x:c>
      <x:c r="I28" s="14" t="s">
        <x:v>42</x:v>
      </x:c>
      <x:c r="J28" s="12" t="s">
        <x:v>42</x:v>
      </x:c>
      <x:c r="K28" s="12" t="s">
        <x:v>45</x:v>
      </x:c>
    </x:row>
    <x:row r="29" spans="1:11">
      <x:c r="A29" s="15" t="s">
        <x:v>158</x:v>
      </x:c>
      <x:c r="B29" s="15" t="s">
        <x:v>26</x:v>
      </x:c>
      <x:c r="C29" s="15" t="s">
        <x:v>159</x:v>
      </x:c>
      <x:c r="D29" s="16" t="s">
        <x:v>160</x:v>
      </x:c>
      <x:c r="E29" s="16" t="s">
        <x:v>161</x:v>
      </x:c>
      <x:c r="F29" s="16" t="s">
        <x:v>162</x:v>
      </x:c>
      <x:c r="G29" s="15" t="s">
        <x:v>21</x:v>
      </x:c>
      <x:c r="H29" s="15" t="s">
        <x:v>42</x:v>
      </x:c>
      <x:c r="I29" s="17" t="s">
        <x:v>42</x:v>
      </x:c>
      <x:c r="J29" s="15" t="s">
        <x:v>42</x:v>
      </x:c>
      <x:c r="K29" s="15" t="s">
        <x:v>45</x:v>
      </x:c>
    </x:row>
    <x:row r="30" spans="1:11">
      <x:c r="A30" s="12" t="s">
        <x:v>163</x:v>
      </x:c>
      <x:c r="B30" s="12" t="s">
        <x:v>26</x:v>
      </x:c>
      <x:c r="C30" s="12" t="s">
        <x:v>164</x:v>
      </x:c>
      <x:c r="D30" s="13" t="s">
        <x:v>165</x:v>
      </x:c>
      <x:c r="E30" s="13" t="s">
        <x:v>166</x:v>
      </x:c>
      <x:c r="F30" s="13" t="s">
        <x:v>167</x:v>
      </x:c>
      <x:c r="G30" s="12" t="s">
        <x:v>21</x:v>
      </x:c>
      <x:c r="H30" s="12" t="s">
        <x:v>42</x:v>
      </x:c>
      <x:c r="I30" s="14" t="s">
        <x:v>42</x:v>
      </x:c>
      <x:c r="J30" s="12" t="s">
        <x:v>42</x:v>
      </x:c>
      <x:c r="K30" s="12" t="s">
        <x:v>45</x:v>
      </x:c>
    </x:row>
    <x:row r="31" spans="1:11">
      <x:c r="A31" s="15" t="s">
        <x:v>168</x:v>
      </x:c>
      <x:c r="B31" s="15" t="s">
        <x:v>26</x:v>
      </x:c>
      <x:c r="C31" s="15" t="s">
        <x:v>169</x:v>
      </x:c>
      <x:c r="D31" s="16" t="s">
        <x:v>170</x:v>
      </x:c>
      <x:c r="E31" s="16" t="s">
        <x:v>171</x:v>
      </x:c>
      <x:c r="F31" s="16" t="s">
        <x:v>172</x:v>
      </x:c>
      <x:c r="G31" s="15" t="s">
        <x:v>21</x:v>
      </x:c>
      <x:c r="H31" s="15" t="s">
        <x:v>42</x:v>
      </x:c>
      <x:c r="I31" s="17" t="s">
        <x:v>42</x:v>
      </x:c>
      <x:c r="J31" s="15" t="s">
        <x:v>42</x:v>
      </x:c>
      <x:c r="K31" s="15" t="s">
        <x:v>45</x:v>
      </x:c>
    </x:row>
    <x:row r="32" spans="1:11">
      <x:c r="A32" s="12" t="s">
        <x:v>173</x:v>
      </x:c>
      <x:c r="B32" s="12" t="s">
        <x:v>26</x:v>
      </x:c>
      <x:c r="C32" s="12" t="s">
        <x:v>174</x:v>
      </x:c>
      <x:c r="D32" s="13" t="s">
        <x:v>175</x:v>
      </x:c>
      <x:c r="E32" s="13" t="s">
        <x:v>176</x:v>
      </x:c>
      <x:c r="F32" s="13" t="s">
        <x:v>177</x:v>
      </x:c>
      <x:c r="G32" s="12" t="s">
        <x:v>21</x:v>
      </x:c>
      <x:c r="H32" s="12" t="s">
        <x:v>42</x:v>
      </x:c>
      <x:c r="I32" s="14" t="s">
        <x:v>42</x:v>
      </x:c>
      <x:c r="J32" s="12" t="s">
        <x:v>42</x:v>
      </x:c>
      <x:c r="K32" s="12" t="s">
        <x:v>45</x:v>
      </x:c>
    </x:row>
    <x:row r="33" spans="1:11">
      <x:c r="A33" s="15" t="s">
        <x:v>178</x:v>
      </x:c>
      <x:c r="B33" s="15" t="s">
        <x:v>26</x:v>
      </x:c>
      <x:c r="C33" s="15" t="s">
        <x:v>179</x:v>
      </x:c>
      <x:c r="D33" s="16" t="s">
        <x:v>42</x:v>
      </x:c>
      <x:c r="E33" s="16" t="s">
        <x:v>180</x:v>
      </x:c>
      <x:c r="F33" s="16" t="s">
        <x:v>181</x:v>
      </x:c>
      <x:c r="G33" s="15" t="s">
        <x:v>21</x:v>
      </x:c>
      <x:c r="H33" s="15" t="s">
        <x:v>42</x:v>
      </x:c>
      <x:c r="I33" s="17" t="s">
        <x:v>42</x:v>
      </x:c>
      <x:c r="J33" s="15" t="s">
        <x:v>42</x:v>
      </x:c>
      <x:c r="K33" s="15" t="s">
        <x:v>45</x:v>
      </x:c>
    </x:row>
    <x:row r="34" spans="1:11">
      <x:c r="A34" s="12" t="s">
        <x:v>182</x:v>
      </x:c>
      <x:c r="B34" s="12" t="s">
        <x:v>26</x:v>
      </x:c>
      <x:c r="C34" s="12" t="s">
        <x:v>183</x:v>
      </x:c>
      <x:c r="D34" s="13" t="s">
        <x:v>42</x:v>
      </x:c>
      <x:c r="E34" s="13" t="s">
        <x:v>184</x:v>
      </x:c>
      <x:c r="F34" s="13" t="s">
        <x:v>185</x:v>
      </x:c>
      <x:c r="G34" s="12" t="s">
        <x:v>21</x:v>
      </x:c>
      <x:c r="H34" s="12" t="s">
        <x:v>42</x:v>
      </x:c>
      <x:c r="I34" s="14" t="s">
        <x:v>42</x:v>
      </x:c>
      <x:c r="J34" s="12" t="s">
        <x:v>42</x:v>
      </x:c>
      <x:c r="K34" s="12" t="s">
        <x:v>45</x:v>
      </x:c>
    </x:row>
    <x:row r="35" spans="1:11">
      <x:c r="A35" s="15" t="s">
        <x:v>186</x:v>
      </x:c>
      <x:c r="B35" s="15" t="s">
        <x:v>27</x:v>
      </x:c>
      <x:c r="C35" s="15" t="s">
        <x:v>187</x:v>
      </x:c>
      <x:c r="D35" s="16" t="s">
        <x:v>42</x:v>
      </x:c>
      <x:c r="E35" s="16" t="s">
        <x:v>188</x:v>
      </x:c>
      <x:c r="F35" s="16" t="s">
        <x:v>189</x:v>
      </x:c>
      <x:c r="G35" s="15" t="s">
        <x:v>21</x:v>
      </x:c>
      <x:c r="H35" s="15" t="s">
        <x:v>42</x:v>
      </x:c>
      <x:c r="I35" s="17" t="s">
        <x:v>42</x:v>
      </x:c>
      <x:c r="J35" s="15" t="s">
        <x:v>42</x:v>
      </x:c>
      <x:c r="K35" s="15" t="s">
        <x:v>45</x:v>
      </x:c>
    </x:row>
    <x:row r="36" spans="1:11">
      <x:c r="A36" s="12" t="s">
        <x:v>190</x:v>
      </x:c>
      <x:c r="B36" s="12" t="s">
        <x:v>27</x:v>
      </x:c>
      <x:c r="C36" s="12" t="s">
        <x:v>191</x:v>
      </x:c>
      <x:c r="D36" s="13" t="s">
        <x:v>192</x:v>
      </x:c>
      <x:c r="E36" s="13" t="s">
        <x:v>193</x:v>
      </x:c>
      <x:c r="F36" s="13" t="s">
        <x:v>194</x:v>
      </x:c>
      <x:c r="G36" s="12" t="s">
        <x:v>21</x:v>
      </x:c>
      <x:c r="H36" s="12" t="s">
        <x:v>42</x:v>
      </x:c>
      <x:c r="I36" s="14" t="s">
        <x:v>42</x:v>
      </x:c>
      <x:c r="J36" s="12" t="s">
        <x:v>42</x:v>
      </x:c>
      <x:c r="K36" s="12" t="s">
        <x:v>45</x:v>
      </x:c>
    </x:row>
    <x:row r="37" spans="1:11">
      <x:c r="A37" s="15" t="s">
        <x:v>195</x:v>
      </x:c>
      <x:c r="B37" s="15" t="s">
        <x:v>27</x:v>
      </x:c>
      <x:c r="C37" s="15" t="s">
        <x:v>196</x:v>
      </x:c>
      <x:c r="D37" s="16" t="s">
        <x:v>197</x:v>
      </x:c>
      <x:c r="E37" s="16" t="s">
        <x:v>198</x:v>
      </x:c>
      <x:c r="F37" s="16" t="s">
        <x:v>199</x:v>
      </x:c>
      <x:c r="G37" s="15" t="s">
        <x:v>21</x:v>
      </x:c>
      <x:c r="H37" s="15" t="s">
        <x:v>42</x:v>
      </x:c>
      <x:c r="I37" s="17" t="s">
        <x:v>42</x:v>
      </x:c>
      <x:c r="J37" s="15" t="s">
        <x:v>42</x:v>
      </x:c>
      <x:c r="K37" s="15" t="s">
        <x:v>45</x:v>
      </x:c>
    </x:row>
    <x:row r="38" spans="1:11">
      <x:c r="A38" s="12" t="s">
        <x:v>200</x:v>
      </x:c>
      <x:c r="B38" s="12" t="s">
        <x:v>27</x:v>
      </x:c>
      <x:c r="C38" s="12" t="s">
        <x:v>201</x:v>
      </x:c>
      <x:c r="D38" s="13" t="s">
        <x:v>202</x:v>
      </x:c>
      <x:c r="E38" s="13" t="s">
        <x:v>203</x:v>
      </x:c>
      <x:c r="F38" s="13" t="s">
        <x:v>204</x:v>
      </x:c>
      <x:c r="G38" s="12" t="s">
        <x:v>21</x:v>
      </x:c>
      <x:c r="H38" s="12" t="s">
        <x:v>42</x:v>
      </x:c>
      <x:c r="I38" s="14" t="s">
        <x:v>42</x:v>
      </x:c>
      <x:c r="J38" s="12" t="s">
        <x:v>42</x:v>
      </x:c>
      <x:c r="K38" s="12" t="s">
        <x:v>45</x:v>
      </x:c>
    </x:row>
    <x:row r="39" spans="1:11">
      <x:c r="A39" s="15" t="s">
        <x:v>205</x:v>
      </x:c>
      <x:c r="B39" s="15" t="s">
        <x:v>28</x:v>
      </x:c>
      <x:c r="C39" s="15" t="s">
        <x:v>206</x:v>
      </x:c>
      <x:c r="D39" s="16" t="s">
        <x:v>42</x:v>
      </x:c>
      <x:c r="E39" s="16" t="s">
        <x:v>207</x:v>
      </x:c>
      <x:c r="F39" s="16" t="s">
        <x:v>208</x:v>
      </x:c>
      <x:c r="G39" s="15" t="s">
        <x:v>21</x:v>
      </x:c>
      <x:c r="H39" s="15" t="s">
        <x:v>42</x:v>
      </x:c>
      <x:c r="I39" s="17" t="s">
        <x:v>42</x:v>
      </x:c>
      <x:c r="J39" s="15" t="s">
        <x:v>42</x:v>
      </x:c>
      <x:c r="K39" s="15" t="s">
        <x:v>209</x:v>
      </x:c>
    </x:row>
    <x:row r="40" spans="1:11">
      <x:c r="A40" s="12" t="s">
        <x:v>210</x:v>
      </x:c>
      <x:c r="B40" s="12" t="s">
        <x:v>28</x:v>
      </x:c>
      <x:c r="C40" s="12" t="s">
        <x:v>211</x:v>
      </x:c>
      <x:c r="D40" s="13" t="s">
        <x:v>42</x:v>
      </x:c>
      <x:c r="E40" s="13" t="s">
        <x:v>212</x:v>
      </x:c>
      <x:c r="F40" s="13" t="s">
        <x:v>213</x:v>
      </x:c>
      <x:c r="G40" s="12" t="s">
        <x:v>21</x:v>
      </x:c>
      <x:c r="H40" s="12" t="s">
        <x:v>42</x:v>
      </x:c>
      <x:c r="I40" s="14" t="s">
        <x:v>42</x:v>
      </x:c>
      <x:c r="J40" s="12" t="s">
        <x:v>42</x:v>
      </x:c>
      <x:c r="K40" s="12" t="s">
        <x:v>209</x:v>
      </x:c>
    </x:row>
    <x:row r="41" spans="1:11">
      <x:c r="A41" s="15" t="s">
        <x:v>214</x:v>
      </x:c>
      <x:c r="B41" s="15" t="s">
        <x:v>28</x:v>
      </x:c>
      <x:c r="C41" s="15" t="s">
        <x:v>215</x:v>
      </x:c>
      <x:c r="D41" s="16" t="s">
        <x:v>42</x:v>
      </x:c>
      <x:c r="E41" s="16" t="s">
        <x:v>216</x:v>
      </x:c>
      <x:c r="F41" s="16" t="s">
        <x:v>217</x:v>
      </x:c>
      <x:c r="G41" s="15" t="s">
        <x:v>21</x:v>
      </x:c>
      <x:c r="H41" s="15" t="s">
        <x:v>42</x:v>
      </x:c>
      <x:c r="I41" s="17" t="s">
        <x:v>42</x:v>
      </x:c>
      <x:c r="J41" s="15" t="s">
        <x:v>42</x:v>
      </x:c>
      <x:c r="K41" s="15" t="s">
        <x:v>209</x:v>
      </x:c>
    </x:row>
    <x:row r="42" spans="1:11">
      <x:c r="A42" s="12" t="s">
        <x:v>218</x:v>
      </x:c>
      <x:c r="B42" s="12" t="s">
        <x:v>28</x:v>
      </x:c>
      <x:c r="C42" s="12" t="s">
        <x:v>219</x:v>
      </x:c>
      <x:c r="D42" s="13" t="s">
        <x:v>42</x:v>
      </x:c>
      <x:c r="E42" s="13" t="s">
        <x:v>220</x:v>
      </x:c>
      <x:c r="F42" s="13" t="s">
        <x:v>221</x:v>
      </x:c>
      <x:c r="G42" s="12" t="s">
        <x:v>21</x:v>
      </x:c>
      <x:c r="H42" s="12" t="s">
        <x:v>42</x:v>
      </x:c>
      <x:c r="I42" s="14" t="s">
        <x:v>42</x:v>
      </x:c>
      <x:c r="J42" s="12" t="s">
        <x:v>42</x:v>
      </x:c>
      <x:c r="K42" s="12" t="s">
        <x:v>209</x:v>
      </x:c>
    </x:row>
    <x:row r="43" spans="1:11">
      <x:c r="A43" s="15" t="s">
        <x:v>222</x:v>
      </x:c>
      <x:c r="B43" s="15" t="s">
        <x:v>28</x:v>
      </x:c>
      <x:c r="C43" s="15" t="s">
        <x:v>223</x:v>
      </x:c>
      <x:c r="D43" s="16" t="s">
        <x:v>42</x:v>
      </x:c>
      <x:c r="E43" s="16" t="s">
        <x:v>224</x:v>
      </x:c>
      <x:c r="F43" s="16" t="s">
        <x:v>225</x:v>
      </x:c>
      <x:c r="G43" s="15" t="s">
        <x:v>21</x:v>
      </x:c>
      <x:c r="H43" s="15" t="s">
        <x:v>42</x:v>
      </x:c>
      <x:c r="I43" s="17" t="s">
        <x:v>42</x:v>
      </x:c>
      <x:c r="J43" s="15" t="s">
        <x:v>42</x:v>
      </x:c>
      <x:c r="K43" s="15" t="s">
        <x:v>209</x:v>
      </x:c>
    </x:row>
    <x:row r="44" spans="1:11">
      <x:c r="A44" s="12" t="s">
        <x:v>226</x:v>
      </x:c>
      <x:c r="B44" s="12" t="s">
        <x:v>28</x:v>
      </x:c>
      <x:c r="C44" s="12" t="s">
        <x:v>227</x:v>
      </x:c>
      <x:c r="D44" s="13" t="s">
        <x:v>42</x:v>
      </x:c>
      <x:c r="E44" s="13" t="s">
        <x:v>228</x:v>
      </x:c>
      <x:c r="F44" s="13" t="s">
        <x:v>229</x:v>
      </x:c>
      <x:c r="G44" s="12" t="s">
        <x:v>21</x:v>
      </x:c>
      <x:c r="H44" s="12" t="s">
        <x:v>42</x:v>
      </x:c>
      <x:c r="I44" s="14" t="s">
        <x:v>42</x:v>
      </x:c>
      <x:c r="J44" s="12" t="s">
        <x:v>42</x:v>
      </x:c>
      <x:c r="K44" s="12" t="s">
        <x:v>209</x:v>
      </x:c>
    </x:row>
  </x:sheetData>
  <x:autoFilter ref="A1:K44"/>
  <x:conditionalFormatting sqref="G2:G44">
    <x:cfRule type="cellIs" dxfId="3" priority="1" operator="equal">
      <x:formula>"Pass"</x:formula>
    </x:cfRule>
    <x:cfRule type="cellIs" dxfId="4" priority="2" operator="equal">
      <x:formula>"Fail"</x:formula>
    </x:cfRule>
    <x:cfRule type="cellIs" dxfId="5" priority="3" operator="equal">
      <x:formula>"Blocked"</x:formula>
    </x:cfRule>
    <x:cfRule type="cellIs" dxfId="6" priority="4" operator="equal">
      <x:formula>"Skipped"</x:formula>
    </x:cfRule>
  </x:conditionalFormatting>
  <x:conditionalFormatting sqref="K2:K44">
    <x:cfRule type="cellIs" dxfId="7" priority="5" operator="equal">
      <x:formula>"Core"</x:formula>
    </x:cfRule>
    <x:cfRule type="cellIs" dxfId="8" priority="6" operator="equal">
      <x:formula>"Edge"</x:formula>
    </x:cfRule>
  </x:conditionalFormatting>
  <x:dataValidations count="1">
    <x:dataValidation type="list" errorStyle="stop" operator="between" allowBlank="1" showDropDown="0" showInputMessage="1" showErrorMessage="1" errorTitle="" error="" promptTitle="" prompt="" sqref="G2:G44">
      <x:formula1>"Not Tested,Pass,Fail,Blocked,Skipped"</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Summary</vt:lpstr>
      <vt:lpstr>Test Cases</vt:lpstr>
      <vt:lpstr>Summary!Print_Area</vt:lpstr>
      <vt:lpstr>Summary!Print_Titles</vt:lpstr>
      <vt:lpstr>Test Cases!Print_Area</vt:lpstr>
      <vt:lpstr>Test Cases!Print_Titles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